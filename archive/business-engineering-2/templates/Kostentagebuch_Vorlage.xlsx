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⚙ Einstellungen" sheetId="1" state="visible" r:id="rId3"/>
    <sheet name="📝 Tagebuch" sheetId="2" state="visible" r:id="rId4"/>
    <sheet name="📊 Zusammenfassu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<sst xmlns="http://schemas.openxmlformats.org/spreadsheetml/2006/main" count="58" uniqueCount="48">
  <si>
    <t xml:space="preserve">📓  KOSTEN-TAGEBUCH</t>
  </si>
  <si>
    <t xml:space="preserve">Einstellungen &amp; Rahmendaten</t>
  </si>
  <si>
    <t xml:space="preserve">Name / Team</t>
  </si>
  <si>
    <t xml:space="preserve">Dein Name</t>
  </si>
  <si>
    <t xml:space="preserve">Projektname (Case)</t>
  </si>
  <si>
    <t xml:space="preserve">Projektname</t>
  </si>
  <si>
    <t xml:space="preserve">Stundensatz (€/h)</t>
  </si>
  <si>
    <t xml:space="preserve">← Blaue Felder = Eingabe</t>
  </si>
  <si>
    <t xml:space="preserve">Semester</t>
  </si>
  <si>
    <t xml:space="preserve">SoSe 2025</t>
  </si>
  <si>
    <t xml:space="preserve">Startdatum</t>
  </si>
  <si>
    <t xml:space="preserve">📂  Kategorien (Referenz)</t>
  </si>
  <si>
    <t xml:space="preserve">1</t>
  </si>
  <si>
    <t xml:space="preserve">Vorlesung / Präsenzzeit</t>
  </si>
  <si>
    <t xml:space="preserve">2</t>
  </si>
  <si>
    <t xml:space="preserve">Eigenstudium – Konzeption &amp; Design</t>
  </si>
  <si>
    <t xml:space="preserve">3</t>
  </si>
  <si>
    <t xml:space="preserve">Eigenstudium – Implementierung</t>
  </si>
  <si>
    <t xml:space="preserve">4</t>
  </si>
  <si>
    <t xml:space="preserve">Eigenstudium – Recherche &amp; Lernen</t>
  </si>
  <si>
    <t xml:space="preserve">5</t>
  </si>
  <si>
    <t xml:space="preserve">Eigenstudium – Debugging &amp; Fehlerbehebung</t>
  </si>
  <si>
    <t xml:space="preserve">6</t>
  </si>
  <si>
    <t xml:space="preserve">Eigenstudium – Dokumentation</t>
  </si>
  <si>
    <t xml:space="preserve">📓  KOSTEN-TAGEBUCH – Einträge</t>
  </si>
  <si>
    <t xml:space="preserve">Datum</t>
  </si>
  <si>
    <t xml:space="preserve">Was habe ich gemacht?</t>
  </si>
  <si>
    <t xml:space="preserve">Kategorie</t>
  </si>
  <si>
    <t xml:space="preserve">Stunden</t>
  </si>
  <si>
    <t xml:space="preserve">Minuten</t>
  </si>
  <si>
    <t xml:space="preserve">Kosten (€)</t>
  </si>
  <si>
    <t xml:space="preserve">Aha-Momente</t>
  </si>
  <si>
    <t xml:space="preserve">Schwierigkeiten</t>
  </si>
  <si>
    <t xml:space="preserve">Schneller möglich?</t>
  </si>
  <si>
    <t xml:space="preserve">Begründung</t>
  </si>
  <si>
    <t xml:space="preserve">📊  KOSTEN-ZUSAMMENFASSUNG</t>
  </si>
  <si>
    <t xml:space="preserve">📌  Gesamtübersicht</t>
  </si>
  <si>
    <t xml:space="preserve">Gesamtstunden</t>
  </si>
  <si>
    <t xml:space="preserve">Gesamtkosten (€)</t>
  </si>
  <si>
    <t xml:space="preserve">Anzahl Einträge</t>
  </si>
  <si>
    <t xml:space="preserve">Ø Kosten/Eintrag</t>
  </si>
  <si>
    <t xml:space="preserve">📂  Kosten nach Kategorie</t>
  </si>
  <si>
    <t xml:space="preserve">Anteil (%)</t>
  </si>
  <si>
    <t xml:space="preserve">Gesamt</t>
  </si>
  <si>
    <t xml:space="preserve">📅  Letzte 10 Einträge – Laufende Kosten</t>
  </si>
  <si>
    <t xml:space="preserve">Aktivität (Kurzform)</t>
  </si>
  <si>
    <t xml:space="preserve">Kosten</t>
  </si>
  <si>
    <t xml:space="preserve">Kumuliert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</si>
</sst>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.mm\.yyyy"/>
    <numFmt numFmtId="166" formatCode="#,##0.00&quot; €&quot;"/>
    <numFmt numFmtId="167" formatCode="0.00"/>
    <numFmt numFmtId="168" formatCode="0"/>
    <numFmt numFmtId="169" formatCode="0.0%"/>
    <numFmt numFmtId="170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8F5E9"/>
      </patternFill>
    </fill>
    <fill>
      <patternFill patternType="solid">
        <fgColor rgb="FFFDFEFE"/>
        <bgColor rgb="FFFFFFFF"/>
      </patternFill>
    </fill>
    <fill>
      <patternFill patternType="solid">
        <fgColor rgb="FFFFFFFF"/>
        <bgColor rgb="FFFDFEFE"/>
      </patternFill>
    </fill>
    <fill>
      <patternFill patternType="solid">
        <fgColor rgb="FFF0F7FF"/>
        <bgColor rgb="FFE8F5E9"/>
      </patternFill>
    </fill>
    <fill>
      <patternFill patternType="solid">
        <fgColor rgb="FFE8F5E9"/>
        <bgColor rgb="FFF0F7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9CCE3"/>
      </left>
      <right style="thin">
        <color rgb="FFA9CCE3"/>
      </right>
      <top style="thin">
        <color rgb="FFA9CCE3"/>
      </top>
      <bottom style="thin">
        <color rgb="FFA9CCE3"/>
      </bottom>
      <diagonal/>
    </border>
    <border diagonalUp="false" diagonalDown="false">
      <left style="thin">
        <color rgb="FFA9CCE3"/>
      </left>
      <right/>
      <top style="thin">
        <color rgb="FFA9CCE3"/>
      </top>
      <bottom style="thin">
        <color rgb="FFA9C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DFEFE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FF"/>
      <rgbColor rgb="FFCCFFCC"/>
      <rgbColor rgb="FFFFFF99"/>
      <rgbColor rgb="FFA9CCE3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7AE6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8"/>
    <col collapsed="false" customWidth="true" hidden="false" outlineLevel="0" max="3" min="3" style="1" width="40"/>
  </cols>
  <sheetData>
    <row r="1" customFormat="false" ht="36" hidden="false" customHeight="true" outlineLevel="0" collapsed="false">
      <c r="A1" s="2" t="s">
        <v>0</v>
      </c>
      <c r="B1" s="2"/>
      <c r="C1" s="2"/>
    </row>
    <row r="2" customFormat="false" ht="21.75" hidden="false" customHeight="true" outlineLevel="0" collapsed="false">
      <c r="A2" s="3" t="s">
        <v>1</v>
      </c>
      <c r="B2" s="3"/>
      <c r="C2" s="3"/>
    </row>
    <row r="3" customFormat="false" ht="7.5" hidden="false" customHeight="true" outlineLevel="0" collapsed="false"/>
    <row r="4" customFormat="false" ht="24" hidden="false" customHeight="true" outlineLevel="0" collapsed="false">
      <c r="A4" s="4" t="s">
        <v>2</v>
      </c>
      <c r="B4" s="5" t="s">
        <v>3</v>
      </c>
      <c r="C4" s="6"/>
    </row>
    <row r="5" customFormat="false" ht="24" hidden="false" customHeight="true" outlineLevel="0" collapsed="false">
      <c r="A5" s="4" t="s">
        <v>4</v>
      </c>
      <c r="B5" s="5" t="s">
        <v>5</v>
      </c>
      <c r="C5" s="6"/>
    </row>
    <row r="6" customFormat="false" ht="24" hidden="false" customHeight="true" outlineLevel="0" collapsed="false">
      <c r="A6" s="4" t="s">
        <v>6</v>
      </c>
      <c r="B6" s="5" t="n">
        <v>100</v>
      </c>
      <c r="C6" s="7" t="s">
        <v>7</v>
      </c>
    </row>
    <row r="7" customFormat="false" ht="24" hidden="false" customHeight="true" outlineLevel="0" collapsed="false">
      <c r="A7" s="4" t="s">
        <v>8</v>
      </c>
      <c r="B7" s="5" t="s">
        <v>9</v>
      </c>
      <c r="C7" s="6"/>
    </row>
    <row r="8" customFormat="false" ht="24" hidden="false" customHeight="true" outlineLevel="0" collapsed="false">
      <c r="A8" s="4" t="s">
        <v>10</v>
      </c>
      <c r="B8" s="8"/>
      <c r="C8" s="6"/>
    </row>
    <row r="9" customFormat="false" ht="7.5" hidden="false" customHeight="true" outlineLevel="0" collapsed="false"/>
    <row r="10" customFormat="false" ht="21.75" hidden="false" customHeight="true" outlineLevel="0" collapsed="false">
      <c r="A10" s="9" t="s">
        <v>11</v>
      </c>
      <c r="B10" s="9"/>
      <c r="C10" s="9"/>
    </row>
    <row r="11" customFormat="false" ht="19.5" hidden="false" customHeight="true" outlineLevel="0" collapsed="false">
      <c r="A11" s="10" t="s">
        <v>12</v>
      </c>
      <c r="B11" s="11" t="s">
        <v>13</v>
      </c>
      <c r="C11" s="11"/>
    </row>
    <row r="12" customFormat="false" ht="19.5" hidden="false" customHeight="true" outlineLevel="0" collapsed="false">
      <c r="A12" s="12" t="s">
        <v>14</v>
      </c>
      <c r="B12" s="13" t="s">
        <v>15</v>
      </c>
      <c r="C12" s="13"/>
    </row>
    <row r="13" customFormat="false" ht="19.5" hidden="false" customHeight="true" outlineLevel="0" collapsed="false">
      <c r="A13" s="10" t="s">
        <v>16</v>
      </c>
      <c r="B13" s="11" t="s">
        <v>17</v>
      </c>
      <c r="C13" s="11"/>
    </row>
    <row r="14" customFormat="false" ht="19.5" hidden="false" customHeight="true" outlineLevel="0" collapsed="false">
      <c r="A14" s="12" t="s">
        <v>18</v>
      </c>
      <c r="B14" s="13" t="s">
        <v>19</v>
      </c>
      <c r="C14" s="13"/>
    </row>
    <row r="15" customFormat="false" ht="19.5" hidden="false" customHeight="true" outlineLevel="0" collapsed="false">
      <c r="A15" s="10" t="s">
        <v>20</v>
      </c>
      <c r="B15" s="11" t="s">
        <v>21</v>
      </c>
      <c r="C15" s="11"/>
    </row>
    <row r="16" customFormat="false" ht="19.5" hidden="false" customHeight="true" outlineLevel="0" collapsed="false">
      <c r="A16" s="12" t="s">
        <v>22</v>
      </c>
      <c r="B16" s="13" t="s">
        <v>23</v>
      </c>
      <c r="C16" s="13"/>
    </row>
  </sheetData>
  <mergeCells count="9">
    <mergeCell ref="A1:C1"/>
    <mergeCell ref="A2:C2"/>
    <mergeCell ref="A10:C10"/>
    <mergeCell ref="B11:C11"/>
    <mergeCell ref="B12:C12"/>
    <mergeCell ref="B13:C13"/>
    <mergeCell ref="B14:C14"/>
    <mergeCell ref="B15:C15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30"/>
    <col collapsed="false" customWidth="true" hidden="false" outlineLevel="0" max="6" min="4" style="1" width="10"/>
    <col collapsed="false" customWidth="true" hidden="false" outlineLevel="0" max="8" min="7" style="1" width="35"/>
    <col collapsed="false" customWidth="true" hidden="false" outlineLevel="0" max="9" min="9" style="1" width="25"/>
    <col collapsed="false" customWidth="true" hidden="false" outlineLevel="0" max="10" min="10" style="1" width="30"/>
  </cols>
  <sheetData>
    <row r="1" customFormat="false" ht="33.75" hidden="false" customHeight="true" outlineLevel="0" collapsed="false">
      <c r="A1" s="14" t="s">
        <v>24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25.5" hidden="false" customHeight="true" outlineLevel="0" collapsed="false">
      <c r="A2" s="15" t="s">
        <v>25</v>
      </c>
      <c r="B2" s="15" t="s">
        <v>26</v>
      </c>
      <c r="C2" s="15" t="s">
        <v>27</v>
      </c>
      <c r="D2" s="15" t="s">
        <v>28</v>
      </c>
      <c r="E2" s="15" t="s">
        <v>29</v>
      </c>
      <c r="F2" s="15" t="s">
        <v>30</v>
      </c>
      <c r="G2" s="15" t="s">
        <v>31</v>
      </c>
      <c r="H2" s="15" t="s">
        <v>32</v>
      </c>
      <c r="I2" s="15" t="s">
        <v>33</v>
      </c>
      <c r="J2" s="15" t="s">
        <v>34</v>
      </c>
    </row>
    <row r="3" customFormat="false" ht="42" hidden="false" customHeight="true" outlineLevel="0" collapsed="false">
      <c r="A3" s="16"/>
      <c r="B3" s="17"/>
      <c r="C3" s="18"/>
      <c r="D3" s="19"/>
      <c r="E3" s="19"/>
      <c r="F3" s="20" t="str">
        <f aca="false">IF(D3="","",ROUND((D3+IF(E3="",0,E3/60))*'⚙ Einstellungen'!$B$6,2))</f>
        <v/>
      </c>
      <c r="G3" s="17"/>
      <c r="H3" s="17"/>
      <c r="I3" s="18"/>
      <c r="J3" s="17"/>
    </row>
    <row r="4" customFormat="false" ht="42" hidden="false" customHeight="true" outlineLevel="0" collapsed="false">
      <c r="A4" s="21"/>
      <c r="B4" s="22"/>
      <c r="C4" s="23"/>
      <c r="D4" s="24"/>
      <c r="E4" s="24"/>
      <c r="F4" s="20" t="str">
        <f aca="false">IF(D4="","",ROUND((D4+IF(E4="",0,E4/60))*'⚙ Einstellungen'!$B$6,2))</f>
        <v/>
      </c>
      <c r="G4" s="22"/>
      <c r="H4" s="22"/>
      <c r="I4" s="23"/>
      <c r="J4" s="22"/>
    </row>
    <row r="5" customFormat="false" ht="42" hidden="false" customHeight="true" outlineLevel="0" collapsed="false">
      <c r="A5" s="16"/>
      <c r="B5" s="17"/>
      <c r="C5" s="18"/>
      <c r="D5" s="19"/>
      <c r="E5" s="19"/>
      <c r="F5" s="20" t="str">
        <f aca="false">IF(D5="","",ROUND((D5+IF(E5="",0,E5/60))*'⚙ Einstellungen'!$B$6,2))</f>
        <v/>
      </c>
      <c r="G5" s="17"/>
      <c r="H5" s="17"/>
      <c r="I5" s="18"/>
      <c r="J5" s="17"/>
    </row>
    <row r="6" customFormat="false" ht="42" hidden="false" customHeight="true" outlineLevel="0" collapsed="false">
      <c r="A6" s="21"/>
      <c r="B6" s="22"/>
      <c r="C6" s="23"/>
      <c r="D6" s="24"/>
      <c r="E6" s="24"/>
      <c r="F6" s="20" t="str">
        <f aca="false">IF(D6="","",ROUND((D6+IF(E6="",0,E6/60))*'⚙ Einstellungen'!$B$6,2))</f>
        <v/>
      </c>
      <c r="G6" s="22"/>
      <c r="H6" s="22"/>
      <c r="I6" s="23"/>
      <c r="J6" s="22"/>
    </row>
    <row r="7" customFormat="false" ht="42" hidden="false" customHeight="true" outlineLevel="0" collapsed="false">
      <c r="A7" s="16"/>
      <c r="B7" s="17"/>
      <c r="C7" s="18"/>
      <c r="D7" s="19"/>
      <c r="E7" s="19"/>
      <c r="F7" s="20" t="str">
        <f aca="false">IF(D7="","",ROUND((D7+IF(E7="",0,E7/60))*'⚙ Einstellungen'!$B$6,2))</f>
        <v/>
      </c>
      <c r="G7" s="17"/>
      <c r="H7" s="17"/>
      <c r="I7" s="18"/>
      <c r="J7" s="17"/>
    </row>
    <row r="8" customFormat="false" ht="42" hidden="false" customHeight="true" outlineLevel="0" collapsed="false">
      <c r="A8" s="21"/>
      <c r="B8" s="22"/>
      <c r="C8" s="23"/>
      <c r="D8" s="24"/>
      <c r="E8" s="24"/>
      <c r="F8" s="20" t="str">
        <f aca="false">IF(D8="","",ROUND((D8+IF(E8="",0,E8/60))*'⚙ Einstellungen'!$B$6,2))</f>
        <v/>
      </c>
      <c r="G8" s="22"/>
      <c r="H8" s="22"/>
      <c r="I8" s="23"/>
      <c r="J8" s="22"/>
    </row>
    <row r="9" customFormat="false" ht="42" hidden="false" customHeight="true" outlineLevel="0" collapsed="false">
      <c r="A9" s="16"/>
      <c r="B9" s="17"/>
      <c r="C9" s="18"/>
      <c r="D9" s="19"/>
      <c r="E9" s="19"/>
      <c r="F9" s="20" t="str">
        <f aca="false">IF(D9="","",ROUND((D9+IF(E9="",0,E9/60))*'⚙ Einstellungen'!$B$6,2))</f>
        <v/>
      </c>
      <c r="G9" s="17"/>
      <c r="H9" s="17"/>
      <c r="I9" s="18"/>
      <c r="J9" s="17"/>
    </row>
    <row r="10" customFormat="false" ht="42" hidden="false" customHeight="true" outlineLevel="0" collapsed="false">
      <c r="A10" s="21"/>
      <c r="B10" s="22"/>
      <c r="C10" s="23"/>
      <c r="D10" s="24"/>
      <c r="E10" s="24"/>
      <c r="F10" s="20" t="str">
        <f aca="false">IF(D10="","",ROUND((D10+IF(E10="",0,E10/60))*'⚙ Einstellungen'!$B$6,2))</f>
        <v/>
      </c>
      <c r="G10" s="22"/>
      <c r="H10" s="22"/>
      <c r="I10" s="23"/>
      <c r="J10" s="22"/>
    </row>
    <row r="11" customFormat="false" ht="42" hidden="false" customHeight="true" outlineLevel="0" collapsed="false">
      <c r="A11" s="16"/>
      <c r="B11" s="17"/>
      <c r="C11" s="18"/>
      <c r="D11" s="19"/>
      <c r="E11" s="19"/>
      <c r="F11" s="20" t="str">
        <f aca="false">IF(D11="","",ROUND((D11+IF(E11="",0,E11/60))*'⚙ Einstellungen'!$B$6,2))</f>
        <v/>
      </c>
      <c r="G11" s="17"/>
      <c r="H11" s="17"/>
      <c r="I11" s="18"/>
      <c r="J11" s="17"/>
    </row>
    <row r="12" customFormat="false" ht="42" hidden="false" customHeight="true" outlineLevel="0" collapsed="false">
      <c r="A12" s="21"/>
      <c r="B12" s="22"/>
      <c r="C12" s="23"/>
      <c r="D12" s="24"/>
      <c r="E12" s="24"/>
      <c r="F12" s="20" t="str">
        <f aca="false">IF(D12="","",ROUND((D12+IF(E12="",0,E12/60))*'⚙ Einstellungen'!$B$6,2))</f>
        <v/>
      </c>
      <c r="G12" s="22"/>
      <c r="H12" s="22"/>
      <c r="I12" s="23"/>
      <c r="J12" s="22"/>
    </row>
    <row r="13" customFormat="false" ht="42" hidden="false" customHeight="true" outlineLevel="0" collapsed="false">
      <c r="A13" s="16"/>
      <c r="B13" s="17"/>
      <c r="C13" s="18"/>
      <c r="D13" s="19"/>
      <c r="E13" s="19"/>
      <c r="F13" s="20" t="str">
        <f aca="false">IF(D13="","",ROUND((D13+IF(E13="",0,E13/60))*'⚙ Einstellungen'!$B$6,2))</f>
        <v/>
      </c>
      <c r="G13" s="17"/>
      <c r="H13" s="17"/>
      <c r="I13" s="18"/>
      <c r="J13" s="17"/>
    </row>
    <row r="14" customFormat="false" ht="42" hidden="false" customHeight="true" outlineLevel="0" collapsed="false">
      <c r="A14" s="21"/>
      <c r="B14" s="22"/>
      <c r="C14" s="23"/>
      <c r="D14" s="24"/>
      <c r="E14" s="24"/>
      <c r="F14" s="20" t="str">
        <f aca="false">IF(D14="","",ROUND((D14+IF(E14="",0,E14/60))*'⚙ Einstellungen'!$B$6,2))</f>
        <v/>
      </c>
      <c r="G14" s="22"/>
      <c r="H14" s="22"/>
      <c r="I14" s="23"/>
      <c r="J14" s="22"/>
    </row>
    <row r="15" customFormat="false" ht="42" hidden="false" customHeight="true" outlineLevel="0" collapsed="false">
      <c r="A15" s="16"/>
      <c r="B15" s="17"/>
      <c r="C15" s="18"/>
      <c r="D15" s="19"/>
      <c r="E15" s="19"/>
      <c r="F15" s="20" t="str">
        <f aca="false">IF(D15="","",ROUND((D15+IF(E15="",0,E15/60))*'⚙ Einstellungen'!$B$6,2))</f>
        <v/>
      </c>
      <c r="G15" s="17"/>
      <c r="H15" s="17"/>
      <c r="I15" s="18"/>
      <c r="J15" s="17"/>
    </row>
    <row r="16" customFormat="false" ht="42" hidden="false" customHeight="true" outlineLevel="0" collapsed="false">
      <c r="A16" s="21"/>
      <c r="B16" s="22"/>
      <c r="C16" s="23"/>
      <c r="D16" s="24"/>
      <c r="E16" s="24"/>
      <c r="F16" s="20" t="str">
        <f aca="false">IF(D16="","",ROUND((D16+IF(E16="",0,E16/60))*'⚙ Einstellungen'!$B$6,2))</f>
        <v/>
      </c>
      <c r="G16" s="22"/>
      <c r="H16" s="22"/>
      <c r="I16" s="23"/>
      <c r="J16" s="22"/>
    </row>
    <row r="17" customFormat="false" ht="42" hidden="false" customHeight="true" outlineLevel="0" collapsed="false">
      <c r="A17" s="16"/>
      <c r="B17" s="17"/>
      <c r="C17" s="18"/>
      <c r="D17" s="19"/>
      <c r="E17" s="19"/>
      <c r="F17" s="20" t="str">
        <f aca="false">IF(D17="","",ROUND((D17+IF(E17="",0,E17/60))*'⚙ Einstellungen'!$B$6,2))</f>
        <v/>
      </c>
      <c r="G17" s="17"/>
      <c r="H17" s="17"/>
      <c r="I17" s="18"/>
      <c r="J17" s="17"/>
    </row>
    <row r="18" customFormat="false" ht="42" hidden="false" customHeight="true" outlineLevel="0" collapsed="false">
      <c r="A18" s="21"/>
      <c r="B18" s="22"/>
      <c r="C18" s="23"/>
      <c r="D18" s="24"/>
      <c r="E18" s="24"/>
      <c r="F18" s="20" t="str">
        <f aca="false">IF(D18="","",ROUND((D18+IF(E18="",0,E18/60))*'⚙ Einstellungen'!$B$6,2))</f>
        <v/>
      </c>
      <c r="G18" s="22"/>
      <c r="H18" s="22"/>
      <c r="I18" s="23"/>
      <c r="J18" s="22"/>
    </row>
    <row r="19" customFormat="false" ht="42" hidden="false" customHeight="true" outlineLevel="0" collapsed="false">
      <c r="A19" s="16"/>
      <c r="B19" s="17"/>
      <c r="C19" s="18"/>
      <c r="D19" s="19"/>
      <c r="E19" s="19"/>
      <c r="F19" s="20" t="str">
        <f aca="false">IF(D19="","",ROUND((D19+IF(E19="",0,E19/60))*'⚙ Einstellungen'!$B$6,2))</f>
        <v/>
      </c>
      <c r="G19" s="17"/>
      <c r="H19" s="17"/>
      <c r="I19" s="18"/>
      <c r="J19" s="17"/>
    </row>
    <row r="20" customFormat="false" ht="42" hidden="false" customHeight="true" outlineLevel="0" collapsed="false">
      <c r="A20" s="21"/>
      <c r="B20" s="22"/>
      <c r="C20" s="23"/>
      <c r="D20" s="24"/>
      <c r="E20" s="24"/>
      <c r="F20" s="20" t="str">
        <f aca="false">IF(D20="","",ROUND((D20+IF(E20="",0,E20/60))*'⚙ Einstellungen'!$B$6,2))</f>
        <v/>
      </c>
      <c r="G20" s="22"/>
      <c r="H20" s="22"/>
      <c r="I20" s="23"/>
      <c r="J20" s="22"/>
    </row>
    <row r="21" customFormat="false" ht="42" hidden="false" customHeight="true" outlineLevel="0" collapsed="false">
      <c r="A21" s="16"/>
      <c r="B21" s="17"/>
      <c r="C21" s="18"/>
      <c r="D21" s="19"/>
      <c r="E21" s="19"/>
      <c r="F21" s="20" t="str">
        <f aca="false">IF(D21="","",ROUND((D21+IF(E21="",0,E21/60))*'⚙ Einstellungen'!$B$6,2))</f>
        <v/>
      </c>
      <c r="G21" s="17"/>
      <c r="H21" s="17"/>
      <c r="I21" s="18"/>
      <c r="J21" s="17"/>
    </row>
    <row r="22" customFormat="false" ht="42" hidden="false" customHeight="true" outlineLevel="0" collapsed="false">
      <c r="A22" s="21"/>
      <c r="B22" s="22"/>
      <c r="C22" s="23"/>
      <c r="D22" s="24"/>
      <c r="E22" s="24"/>
      <c r="F22" s="20" t="str">
        <f aca="false">IF(D22="","",ROUND((D22+IF(E22="",0,E22/60))*'⚙ Einstellungen'!$B$6,2))</f>
        <v/>
      </c>
      <c r="G22" s="22"/>
      <c r="H22" s="22"/>
      <c r="I22" s="23"/>
      <c r="J22" s="22"/>
    </row>
    <row r="23" customFormat="false" ht="42" hidden="false" customHeight="true" outlineLevel="0" collapsed="false">
      <c r="A23" s="16"/>
      <c r="B23" s="17"/>
      <c r="C23" s="18"/>
      <c r="D23" s="19"/>
      <c r="E23" s="19"/>
      <c r="F23" s="20" t="str">
        <f aca="false">IF(D23="","",ROUND((D23+IF(E23="",0,E23/60))*'⚙ Einstellungen'!$B$6,2))</f>
        <v/>
      </c>
      <c r="G23" s="17"/>
      <c r="H23" s="17"/>
      <c r="I23" s="18"/>
      <c r="J23" s="17"/>
    </row>
    <row r="24" customFormat="false" ht="42" hidden="false" customHeight="true" outlineLevel="0" collapsed="false">
      <c r="A24" s="21"/>
      <c r="B24" s="22"/>
      <c r="C24" s="23"/>
      <c r="D24" s="24"/>
      <c r="E24" s="24"/>
      <c r="F24" s="20" t="str">
        <f aca="false">IF(D24="","",ROUND((D24+IF(E24="",0,E24/60))*'⚙ Einstellungen'!$B$6,2))</f>
        <v/>
      </c>
      <c r="G24" s="22"/>
      <c r="H24" s="22"/>
      <c r="I24" s="23"/>
      <c r="J24" s="22"/>
    </row>
    <row r="25" customFormat="false" ht="42" hidden="false" customHeight="true" outlineLevel="0" collapsed="false">
      <c r="A25" s="16"/>
      <c r="B25" s="17"/>
      <c r="C25" s="18"/>
      <c r="D25" s="19"/>
      <c r="E25" s="19"/>
      <c r="F25" s="20" t="str">
        <f aca="false">IF(D25="","",ROUND((D25+IF(E25="",0,E25/60))*'⚙ Einstellungen'!$B$6,2))</f>
        <v/>
      </c>
      <c r="G25" s="17"/>
      <c r="H25" s="17"/>
      <c r="I25" s="18"/>
      <c r="J25" s="17"/>
    </row>
    <row r="26" customFormat="false" ht="42" hidden="false" customHeight="true" outlineLevel="0" collapsed="false">
      <c r="A26" s="21"/>
      <c r="B26" s="22"/>
      <c r="C26" s="23"/>
      <c r="D26" s="24"/>
      <c r="E26" s="24"/>
      <c r="F26" s="20" t="str">
        <f aca="false">IF(D26="","",ROUND((D26+IF(E26="",0,E26/60))*'⚙ Einstellungen'!$B$6,2))</f>
        <v/>
      </c>
      <c r="G26" s="22"/>
      <c r="H26" s="22"/>
      <c r="I26" s="23"/>
      <c r="J26" s="22"/>
    </row>
    <row r="27" customFormat="false" ht="42" hidden="false" customHeight="true" outlineLevel="0" collapsed="false">
      <c r="A27" s="16"/>
      <c r="B27" s="17"/>
      <c r="C27" s="18"/>
      <c r="D27" s="19"/>
      <c r="E27" s="19"/>
      <c r="F27" s="20" t="str">
        <f aca="false">IF(D27="","",ROUND((D27+IF(E27="",0,E27/60))*'⚙ Einstellungen'!$B$6,2))</f>
        <v/>
      </c>
      <c r="G27" s="17"/>
      <c r="H27" s="17"/>
      <c r="I27" s="18"/>
      <c r="J27" s="17"/>
    </row>
    <row r="28" customFormat="false" ht="42" hidden="false" customHeight="true" outlineLevel="0" collapsed="false">
      <c r="A28" s="21"/>
      <c r="B28" s="22"/>
      <c r="C28" s="23"/>
      <c r="D28" s="24"/>
      <c r="E28" s="24"/>
      <c r="F28" s="20" t="str">
        <f aca="false">IF(D28="","",ROUND((D28+IF(E28="",0,E28/60))*'⚙ Einstellungen'!$B$6,2))</f>
        <v/>
      </c>
      <c r="G28" s="22"/>
      <c r="H28" s="22"/>
      <c r="I28" s="23"/>
      <c r="J28" s="22"/>
    </row>
    <row r="29" customFormat="false" ht="42" hidden="false" customHeight="true" outlineLevel="0" collapsed="false">
      <c r="A29" s="16"/>
      <c r="B29" s="17"/>
      <c r="C29" s="18"/>
      <c r="D29" s="19"/>
      <c r="E29" s="19"/>
      <c r="F29" s="20" t="str">
        <f aca="false">IF(D29="","",ROUND((D29+IF(E29="",0,E29/60))*'⚙ Einstellungen'!$B$6,2))</f>
        <v/>
      </c>
      <c r="G29" s="17"/>
      <c r="H29" s="17"/>
      <c r="I29" s="18"/>
      <c r="J29" s="17"/>
    </row>
    <row r="30" customFormat="false" ht="42" hidden="false" customHeight="true" outlineLevel="0" collapsed="false">
      <c r="A30" s="21"/>
      <c r="B30" s="22"/>
      <c r="C30" s="23"/>
      <c r="D30" s="24"/>
      <c r="E30" s="24"/>
      <c r="F30" s="20" t="str">
        <f aca="false">IF(D30="","",ROUND((D30+IF(E30="",0,E30/60))*'⚙ Einstellungen'!$B$6,2))</f>
        <v/>
      </c>
      <c r="G30" s="22"/>
      <c r="H30" s="22"/>
      <c r="I30" s="23"/>
      <c r="J30" s="22"/>
    </row>
    <row r="31" customFormat="false" ht="42" hidden="false" customHeight="true" outlineLevel="0" collapsed="false">
      <c r="A31" s="16"/>
      <c r="B31" s="17"/>
      <c r="C31" s="18"/>
      <c r="D31" s="19"/>
      <c r="E31" s="19"/>
      <c r="F31" s="20" t="str">
        <f aca="false">IF(D31="","",ROUND((D31+IF(E31="",0,E31/60))*'⚙ Einstellungen'!$B$6,2))</f>
        <v/>
      </c>
      <c r="G31" s="17"/>
      <c r="H31" s="17"/>
      <c r="I31" s="18"/>
      <c r="J31" s="17"/>
    </row>
    <row r="32" customFormat="false" ht="42" hidden="false" customHeight="true" outlineLevel="0" collapsed="false">
      <c r="A32" s="21"/>
      <c r="B32" s="22"/>
      <c r="C32" s="23"/>
      <c r="D32" s="24"/>
      <c r="E32" s="24"/>
      <c r="F32" s="20" t="str">
        <f aca="false">IF(D32="","",ROUND((D32+IF(E32="",0,E32/60))*'⚙ Einstellungen'!$B$6,2))</f>
        <v/>
      </c>
      <c r="G32" s="22"/>
      <c r="H32" s="22"/>
      <c r="I32" s="23"/>
      <c r="J32" s="22"/>
    </row>
    <row r="33" customFormat="false" ht="42" hidden="false" customHeight="true" outlineLevel="0" collapsed="false">
      <c r="A33" s="16"/>
      <c r="B33" s="17"/>
      <c r="C33" s="18"/>
      <c r="D33" s="19"/>
      <c r="E33" s="19"/>
      <c r="F33" s="20" t="str">
        <f aca="false">IF(D33="","",ROUND((D33+IF(E33="",0,E33/60))*'⚙ Einstellungen'!$B$6,2))</f>
        <v/>
      </c>
      <c r="G33" s="17"/>
      <c r="H33" s="17"/>
      <c r="I33" s="18"/>
      <c r="J33" s="17"/>
    </row>
    <row r="34" customFormat="false" ht="42" hidden="false" customHeight="true" outlineLevel="0" collapsed="false">
      <c r="A34" s="21"/>
      <c r="B34" s="22"/>
      <c r="C34" s="23"/>
      <c r="D34" s="24"/>
      <c r="E34" s="24"/>
      <c r="F34" s="20" t="str">
        <f aca="false">IF(D34="","",ROUND((D34+IF(E34="",0,E34/60))*'⚙ Einstellungen'!$B$6,2))</f>
        <v/>
      </c>
      <c r="G34" s="22"/>
      <c r="H34" s="22"/>
      <c r="I34" s="23"/>
      <c r="J34" s="22"/>
    </row>
    <row r="35" customFormat="false" ht="42" hidden="false" customHeight="true" outlineLevel="0" collapsed="false">
      <c r="A35" s="16"/>
      <c r="B35" s="17"/>
      <c r="C35" s="18"/>
      <c r="D35" s="19"/>
      <c r="E35" s="19"/>
      <c r="F35" s="20" t="str">
        <f aca="false">IF(D35="","",ROUND((D35+IF(E35="",0,E35/60))*'⚙ Einstellungen'!$B$6,2))</f>
        <v/>
      </c>
      <c r="G35" s="17"/>
      <c r="H35" s="17"/>
      <c r="I35" s="18"/>
      <c r="J35" s="17"/>
    </row>
    <row r="36" customFormat="false" ht="42" hidden="false" customHeight="true" outlineLevel="0" collapsed="false">
      <c r="A36" s="21"/>
      <c r="B36" s="22"/>
      <c r="C36" s="23"/>
      <c r="D36" s="24"/>
      <c r="E36" s="24"/>
      <c r="F36" s="20" t="str">
        <f aca="false">IF(D36="","",ROUND((D36+IF(E36="",0,E36/60))*'⚙ Einstellungen'!$B$6,2))</f>
        <v/>
      </c>
      <c r="G36" s="22"/>
      <c r="H36" s="22"/>
      <c r="I36" s="23"/>
      <c r="J36" s="22"/>
    </row>
    <row r="37" customFormat="false" ht="42" hidden="false" customHeight="true" outlineLevel="0" collapsed="false">
      <c r="A37" s="16"/>
      <c r="B37" s="17"/>
      <c r="C37" s="18"/>
      <c r="D37" s="19"/>
      <c r="E37" s="19"/>
      <c r="F37" s="20" t="str">
        <f aca="false">IF(D37="","",ROUND((D37+IF(E37="",0,E37/60))*'⚙ Einstellungen'!$B$6,2))</f>
        <v/>
      </c>
      <c r="G37" s="17"/>
      <c r="H37" s="17"/>
      <c r="I37" s="18"/>
      <c r="J37" s="17"/>
    </row>
    <row r="38" customFormat="false" ht="42" hidden="false" customHeight="true" outlineLevel="0" collapsed="false">
      <c r="A38" s="21"/>
      <c r="B38" s="22"/>
      <c r="C38" s="23"/>
      <c r="D38" s="24"/>
      <c r="E38" s="24"/>
      <c r="F38" s="20" t="str">
        <f aca="false">IF(D38="","",ROUND((D38+IF(E38="",0,E38/60))*'⚙ Einstellungen'!$B$6,2))</f>
        <v/>
      </c>
      <c r="G38" s="22"/>
      <c r="H38" s="22"/>
      <c r="I38" s="23"/>
      <c r="J38" s="22"/>
    </row>
    <row r="39" customFormat="false" ht="42" hidden="false" customHeight="true" outlineLevel="0" collapsed="false">
      <c r="A39" s="16"/>
      <c r="B39" s="17"/>
      <c r="C39" s="18"/>
      <c r="D39" s="19"/>
      <c r="E39" s="19"/>
      <c r="F39" s="20" t="str">
        <f aca="false">IF(D39="","",ROUND((D39+IF(E39="",0,E39/60))*'⚙ Einstellungen'!$B$6,2))</f>
        <v/>
      </c>
      <c r="G39" s="17"/>
      <c r="H39" s="17"/>
      <c r="I39" s="18"/>
      <c r="J39" s="17"/>
    </row>
    <row r="40" customFormat="false" ht="42" hidden="false" customHeight="true" outlineLevel="0" collapsed="false">
      <c r="A40" s="21"/>
      <c r="B40" s="22"/>
      <c r="C40" s="23"/>
      <c r="D40" s="24"/>
      <c r="E40" s="24"/>
      <c r="F40" s="20" t="str">
        <f aca="false">IF(D40="","",ROUND((D40+IF(E40="",0,E40/60))*'⚙ Einstellungen'!$B$6,2))</f>
        <v/>
      </c>
      <c r="G40" s="22"/>
      <c r="H40" s="22"/>
      <c r="I40" s="23"/>
      <c r="J40" s="22"/>
    </row>
    <row r="41" customFormat="false" ht="42" hidden="false" customHeight="true" outlineLevel="0" collapsed="false">
      <c r="A41" s="16"/>
      <c r="B41" s="17"/>
      <c r="C41" s="18"/>
      <c r="D41" s="19"/>
      <c r="E41" s="19"/>
      <c r="F41" s="20" t="str">
        <f aca="false">IF(D41="","",ROUND((D41+IF(E41="",0,E41/60))*'⚙ Einstellungen'!$B$6,2))</f>
        <v/>
      </c>
      <c r="G41" s="17"/>
      <c r="H41" s="17"/>
      <c r="I41" s="18"/>
      <c r="J41" s="17"/>
    </row>
    <row r="42" customFormat="false" ht="42" hidden="false" customHeight="true" outlineLevel="0" collapsed="false">
      <c r="A42" s="21"/>
      <c r="B42" s="22"/>
      <c r="C42" s="23"/>
      <c r="D42" s="24"/>
      <c r="E42" s="24"/>
      <c r="F42" s="20" t="str">
        <f aca="false">IF(D42="","",ROUND((D42+IF(E42="",0,E42/60))*'⚙ Einstellungen'!$B$6,2))</f>
        <v/>
      </c>
      <c r="G42" s="22"/>
      <c r="H42" s="22"/>
      <c r="I42" s="23"/>
      <c r="J42" s="22"/>
    </row>
    <row r="43" customFormat="false" ht="42" hidden="false" customHeight="true" outlineLevel="0" collapsed="false">
      <c r="A43" s="16"/>
      <c r="B43" s="17"/>
      <c r="C43" s="18"/>
      <c r="D43" s="19"/>
      <c r="E43" s="19"/>
      <c r="F43" s="20" t="str">
        <f aca="false">IF(D43="","",ROUND((D43+IF(E43="",0,E43/60))*'⚙ Einstellungen'!$B$6,2))</f>
        <v/>
      </c>
      <c r="G43" s="17"/>
      <c r="H43" s="17"/>
      <c r="I43" s="18"/>
      <c r="J43" s="17"/>
    </row>
    <row r="44" customFormat="false" ht="42" hidden="false" customHeight="true" outlineLevel="0" collapsed="false">
      <c r="A44" s="21"/>
      <c r="B44" s="22"/>
      <c r="C44" s="23"/>
      <c r="D44" s="24"/>
      <c r="E44" s="24"/>
      <c r="F44" s="20" t="str">
        <f aca="false">IF(D44="","",ROUND((D44+IF(E44="",0,E44/60))*'⚙ Einstellungen'!$B$6,2))</f>
        <v/>
      </c>
      <c r="G44" s="22"/>
      <c r="H44" s="22"/>
      <c r="I44" s="23"/>
      <c r="J44" s="22"/>
    </row>
    <row r="45" customFormat="false" ht="42" hidden="false" customHeight="true" outlineLevel="0" collapsed="false">
      <c r="A45" s="16"/>
      <c r="B45" s="17"/>
      <c r="C45" s="18"/>
      <c r="D45" s="19"/>
      <c r="E45" s="19"/>
      <c r="F45" s="20" t="str">
        <f aca="false">IF(D45="","",ROUND((D45+IF(E45="",0,E45/60))*'⚙ Einstellungen'!$B$6,2))</f>
        <v/>
      </c>
      <c r="G45" s="17"/>
      <c r="H45" s="17"/>
      <c r="I45" s="18"/>
      <c r="J45" s="17"/>
    </row>
    <row r="46" customFormat="false" ht="42" hidden="false" customHeight="true" outlineLevel="0" collapsed="false">
      <c r="A46" s="21"/>
      <c r="B46" s="22"/>
      <c r="C46" s="23"/>
      <c r="D46" s="24"/>
      <c r="E46" s="24"/>
      <c r="F46" s="20" t="str">
        <f aca="false">IF(D46="","",ROUND((D46+IF(E46="",0,E46/60))*'⚙ Einstellungen'!$B$6,2))</f>
        <v/>
      </c>
      <c r="G46" s="22"/>
      <c r="H46" s="22"/>
      <c r="I46" s="23"/>
      <c r="J46" s="22"/>
    </row>
    <row r="47" customFormat="false" ht="42" hidden="false" customHeight="true" outlineLevel="0" collapsed="false">
      <c r="A47" s="16"/>
      <c r="B47" s="17"/>
      <c r="C47" s="18"/>
      <c r="D47" s="19"/>
      <c r="E47" s="19"/>
      <c r="F47" s="20" t="str">
        <f aca="false">IF(D47="","",ROUND((D47+IF(E47="",0,E47/60))*'⚙ Einstellungen'!$B$6,2))</f>
        <v/>
      </c>
      <c r="G47" s="17"/>
      <c r="H47" s="17"/>
      <c r="I47" s="18"/>
      <c r="J47" s="17"/>
    </row>
    <row r="48" customFormat="false" ht="42" hidden="false" customHeight="true" outlineLevel="0" collapsed="false">
      <c r="A48" s="21"/>
      <c r="B48" s="22"/>
      <c r="C48" s="23"/>
      <c r="D48" s="24"/>
      <c r="E48" s="24"/>
      <c r="F48" s="20" t="str">
        <f aca="false">IF(D48="","",ROUND((D48+IF(E48="",0,E48/60))*'⚙ Einstellungen'!$B$6,2))</f>
        <v/>
      </c>
      <c r="G48" s="22"/>
      <c r="H48" s="22"/>
      <c r="I48" s="23"/>
      <c r="J48" s="22"/>
    </row>
    <row r="49" customFormat="false" ht="42" hidden="false" customHeight="true" outlineLevel="0" collapsed="false">
      <c r="A49" s="16"/>
      <c r="B49" s="17"/>
      <c r="C49" s="18"/>
      <c r="D49" s="19"/>
      <c r="E49" s="19"/>
      <c r="F49" s="20" t="str">
        <f aca="false">IF(D49="","",ROUND((D49+IF(E49="",0,E49/60))*'⚙ Einstellungen'!$B$6,2))</f>
        <v/>
      </c>
      <c r="G49" s="17"/>
      <c r="H49" s="17"/>
      <c r="I49" s="18"/>
      <c r="J49" s="17"/>
    </row>
    <row r="50" customFormat="false" ht="42" hidden="false" customHeight="true" outlineLevel="0" collapsed="false">
      <c r="A50" s="21"/>
      <c r="B50" s="22"/>
      <c r="C50" s="23"/>
      <c r="D50" s="24"/>
      <c r="E50" s="24"/>
      <c r="F50" s="20" t="str">
        <f aca="false">IF(D50="","",ROUND((D50+IF(E50="",0,E50/60))*'⚙ Einstellungen'!$B$6,2))</f>
        <v/>
      </c>
      <c r="G50" s="22"/>
      <c r="H50" s="22"/>
      <c r="I50" s="23"/>
      <c r="J50" s="22"/>
    </row>
    <row r="51" customFormat="false" ht="42" hidden="false" customHeight="true" outlineLevel="0" collapsed="false">
      <c r="A51" s="16"/>
      <c r="B51" s="17"/>
      <c r="C51" s="18"/>
      <c r="D51" s="19"/>
      <c r="E51" s="19"/>
      <c r="F51" s="20" t="str">
        <f aca="false">IF(D51="","",ROUND((D51+IF(E51="",0,E51/60))*'⚙ Einstellungen'!$B$6,2))</f>
        <v/>
      </c>
      <c r="G51" s="17"/>
      <c r="H51" s="17"/>
      <c r="I51" s="18"/>
      <c r="J51" s="17"/>
    </row>
    <row r="52" customFormat="false" ht="42" hidden="false" customHeight="true" outlineLevel="0" collapsed="false">
      <c r="A52" s="21"/>
      <c r="B52" s="22"/>
      <c r="C52" s="23"/>
      <c r="D52" s="24"/>
      <c r="E52" s="24"/>
      <c r="F52" s="20" t="str">
        <f aca="false">IF(D52="","",ROUND((D52+IF(E52="",0,E52/60))*'⚙ Einstellungen'!$B$6,2))</f>
        <v/>
      </c>
      <c r="G52" s="22"/>
      <c r="H52" s="22"/>
      <c r="I52" s="23"/>
      <c r="J52" s="22"/>
    </row>
  </sheetData>
  <mergeCells count="1">
    <mergeCell ref="A1:J1"/>
  </mergeCells>
  <dataValidations count="2">
    <dataValidation allowBlank="true" errorStyle="stop" operator="between" showDropDown="false" showErrorMessage="false" showInputMessage="false" sqref="C3:C52" type="list">
      <formula1>"Vorlesung / Präsenzzeit,Eigenstudium – Konzeption &amp; Design,Eigenstudium – Implementierung,Eigenstudium – Recherche &amp; Lernen,Eigenstudium – Debugging &amp; Fehlerbehebung,Eigenstudium – Dokumentation"</formula1>
      <formula2>0</formula2>
    </dataValidation>
    <dataValidation allowBlank="true" errorStyle="stop" operator="between" showDropDown="false" showErrorMessage="false" showInputMessage="false" sqref="I3:I52" type="list">
      <formula1>"Ja – bessere Vorbereitung,Ja – Fragen stellen,Ja – anderes Werkzeug,Nein – Aufgabe war komplex"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33.75" hidden="false" customHeight="true" outlineLevel="0" collapsed="false">
      <c r="A1" s="14" t="s">
        <v>35</v>
      </c>
      <c r="B1" s="14"/>
      <c r="C1" s="14"/>
      <c r="D1" s="14"/>
    </row>
    <row r="2" customFormat="false" ht="21.75" hidden="false" customHeight="true" outlineLevel="0" collapsed="false">
      <c r="A2" s="9" t="str">
        <f aca="false">" Projekt: "&amp;'⚙ Einstellungen'!B5&amp;"   |   Stundensatz: "&amp;'⚙ Einstellungen'!B6&amp;" €/h"</f>
        <v> Projekt: Projektname   |   Stundensatz: 100 €/h</v>
      </c>
      <c r="B2" s="9"/>
      <c r="C2" s="9"/>
      <c r="D2" s="9"/>
    </row>
    <row r="3" customFormat="false" ht="9.75" hidden="false" customHeight="true" outlineLevel="0" collapsed="false"/>
    <row r="4" customFormat="false" ht="21.75" hidden="false" customHeight="true" outlineLevel="0" collapsed="false">
      <c r="A4" s="9" t="s">
        <v>36</v>
      </c>
      <c r="B4" s="9"/>
      <c r="C4" s="9"/>
      <c r="D4" s="9"/>
    </row>
    <row r="5" customFormat="false" ht="24" hidden="false" customHeight="true" outlineLevel="0" collapsed="false">
      <c r="A5" s="4" t="s">
        <v>37</v>
      </c>
      <c r="B5" s="25" t="n">
        <f aca="false">SUMPRODUCT(('📝 Tagebuch'!D3:D52&lt;&gt;"")*'📝 Tagebuch'!D3:D52+('📝 Tagebuch'!E3:E52&lt;&gt;"")*'📝 Tagebuch'!E3:E52/60)</f>
        <v>0</v>
      </c>
    </row>
    <row r="6" customFormat="false" ht="24" hidden="false" customHeight="true" outlineLevel="0" collapsed="false">
      <c r="A6" s="4" t="s">
        <v>38</v>
      </c>
      <c r="B6" s="20" t="n">
        <f aca="false">SUMIF('📝 Tagebuch'!F3:F52,"&lt;&gt;",'📝 Tagebuch'!F3:F52)</f>
        <v>0</v>
      </c>
    </row>
    <row r="7" customFormat="false" ht="24" hidden="false" customHeight="true" outlineLevel="0" collapsed="false">
      <c r="A7" s="4" t="s">
        <v>39</v>
      </c>
      <c r="B7" s="26" t="n">
        <f aca="false">COUNTA('📝 Tagebuch'!A3:A52)</f>
        <v>0</v>
      </c>
    </row>
    <row r="8" customFormat="false" ht="24" hidden="false" customHeight="true" outlineLevel="0" collapsed="false">
      <c r="A8" s="4" t="s">
        <v>40</v>
      </c>
      <c r="B8" s="20" t="str">
        <f aca="false">IFERROR(B6/B7,"-")</f>
        <v>-</v>
      </c>
    </row>
    <row r="9" customFormat="false" ht="9.75" hidden="false" customHeight="true" outlineLevel="0" collapsed="false"/>
    <row r="10" customFormat="false" ht="21.75" hidden="false" customHeight="true" outlineLevel="0" collapsed="false">
      <c r="A10" s="9" t="s">
        <v>41</v>
      </c>
      <c r="B10" s="9"/>
      <c r="C10" s="9"/>
      <c r="D10" s="9"/>
    </row>
    <row r="11" customFormat="false" ht="21.75" hidden="false" customHeight="true" outlineLevel="0" collapsed="false">
      <c r="A11" s="27" t="s">
        <v>27</v>
      </c>
      <c r="B11" s="27" t="s">
        <v>28</v>
      </c>
      <c r="C11" s="27" t="s">
        <v>30</v>
      </c>
      <c r="D11" s="27" t="s">
        <v>42</v>
      </c>
    </row>
    <row r="12" customFormat="false" ht="21.75" hidden="false" customHeight="true" outlineLevel="0" collapsed="false">
      <c r="A12" s="28" t="s">
        <v>13</v>
      </c>
      <c r="B12" s="29" t="n">
        <f aca="false">SUMPRODUCT(('📝 Tagebuch'!C3:C52="Vorlesung / Präsenzzeit")*(('📝 Tagebuch'!D3:D52&lt;&gt;"")*'📝 Tagebuch'!D3:D52+('📝 Tagebuch'!E3:E52&lt;&gt;"")*'📝 Tagebuch'!E3:E52/60))</f>
        <v>0</v>
      </c>
      <c r="C12" s="30" t="n">
        <f aca="false">SUMIF('📝 Tagebuch'!C3:C52,"Vorlesung / Präsenzzeit",'📝 Tagebuch'!F3:F52)</f>
        <v>0</v>
      </c>
      <c r="D12" s="31" t="n">
        <f aca="false">IFERROR(C12/B$6,0)</f>
        <v>0</v>
      </c>
    </row>
    <row r="13" customFormat="false" ht="21.75" hidden="false" customHeight="true" outlineLevel="0" collapsed="false">
      <c r="A13" s="32" t="s">
        <v>15</v>
      </c>
      <c r="B13" s="33" t="n">
        <f aca="false">SUMPRODUCT(('📝 Tagebuch'!C3:C52="Eigenstudium – Konzeption &amp; Design")*(('📝 Tagebuch'!D3:D52&lt;&gt;"")*'📝 Tagebuch'!D3:D52+('📝 Tagebuch'!E3:E52&lt;&gt;"")*'📝 Tagebuch'!E3:E52/60))</f>
        <v>0</v>
      </c>
      <c r="C13" s="34" t="n">
        <f aca="false">SUMIF('📝 Tagebuch'!C3:C52,"Eigenstudium – Konzeption &amp; Design",'📝 Tagebuch'!F3:F52)</f>
        <v>0</v>
      </c>
      <c r="D13" s="35" t="n">
        <f aca="false">IFERROR(C13/B$6,0)</f>
        <v>0</v>
      </c>
    </row>
    <row r="14" customFormat="false" ht="21.75" hidden="false" customHeight="true" outlineLevel="0" collapsed="false">
      <c r="A14" s="28" t="s">
        <v>17</v>
      </c>
      <c r="B14" s="29" t="n">
        <f aca="false">SUMPRODUCT(('📝 Tagebuch'!C3:C52="Eigenstudium – Implementierung")*(('📝 Tagebuch'!D3:D52&lt;&gt;"")*'📝 Tagebuch'!D3:D52+('📝 Tagebuch'!E3:E52&lt;&gt;"")*'📝 Tagebuch'!E3:E52/60))</f>
        <v>0</v>
      </c>
      <c r="C14" s="30" t="n">
        <f aca="false">SUMIF('📝 Tagebuch'!C3:C52,"Eigenstudium – Implementierung",'📝 Tagebuch'!F3:F52)</f>
        <v>0</v>
      </c>
      <c r="D14" s="31" t="n">
        <f aca="false">IFERROR(C14/B$6,0)</f>
        <v>0</v>
      </c>
    </row>
    <row r="15" customFormat="false" ht="21.75" hidden="false" customHeight="true" outlineLevel="0" collapsed="false">
      <c r="A15" s="32" t="s">
        <v>19</v>
      </c>
      <c r="B15" s="33" t="n">
        <f aca="false">SUMPRODUCT(('📝 Tagebuch'!C3:C52="Eigenstudium – Recherche &amp; Lernen")*(('📝 Tagebuch'!D3:D52&lt;&gt;"")*'📝 Tagebuch'!D3:D52+('📝 Tagebuch'!E3:E52&lt;&gt;"")*'📝 Tagebuch'!E3:E52/60))</f>
        <v>0</v>
      </c>
      <c r="C15" s="34" t="n">
        <f aca="false">SUMIF('📝 Tagebuch'!C3:C52,"Eigenstudium – Recherche &amp; Lernen",'📝 Tagebuch'!F3:F52)</f>
        <v>0</v>
      </c>
      <c r="D15" s="35" t="n">
        <f aca="false">IFERROR(C15/B$6,0)</f>
        <v>0</v>
      </c>
    </row>
    <row r="16" customFormat="false" ht="21.75" hidden="false" customHeight="true" outlineLevel="0" collapsed="false">
      <c r="A16" s="28" t="s">
        <v>21</v>
      </c>
      <c r="B16" s="29" t="n">
        <f aca="false">SUMPRODUCT(('📝 Tagebuch'!C3:C52="Eigenstudium – Debugging &amp; Fehlerbehebung")*(('📝 Tagebuch'!D3:D52&lt;&gt;"")*'📝 Tagebuch'!D3:D52+('📝 Tagebuch'!E3:E52&lt;&gt;"")*'📝 Tagebuch'!E3:E52/60))</f>
        <v>0</v>
      </c>
      <c r="C16" s="30" t="n">
        <f aca="false">SUMIF('📝 Tagebuch'!C3:C52,"Eigenstudium – Debugging &amp; Fehlerbehebung",'📝 Tagebuch'!F3:F52)</f>
        <v>0</v>
      </c>
      <c r="D16" s="31" t="n">
        <f aca="false">IFERROR(C16/B$6,0)</f>
        <v>0</v>
      </c>
    </row>
    <row r="17" customFormat="false" ht="21.75" hidden="false" customHeight="true" outlineLevel="0" collapsed="false">
      <c r="A17" s="32" t="s">
        <v>23</v>
      </c>
      <c r="B17" s="33" t="n">
        <f aca="false">SUMPRODUCT(('📝 Tagebuch'!C3:C52="Eigenstudium – Dokumentation")*(('📝 Tagebuch'!D3:D52&lt;&gt;"")*'📝 Tagebuch'!D3:D52+('📝 Tagebuch'!E3:E52&lt;&gt;"")*'📝 Tagebuch'!E3:E52/60))</f>
        <v>0</v>
      </c>
      <c r="C17" s="34" t="n">
        <f aca="false">SUMIF('📝 Tagebuch'!C3:C52,"Eigenstudium – Dokumentation",'📝 Tagebuch'!F3:F52)</f>
        <v>0</v>
      </c>
      <c r="D17" s="35" t="n">
        <f aca="false">IFERROR(C17/B$6,0)</f>
        <v>0</v>
      </c>
    </row>
    <row r="18" customFormat="false" ht="21.75" hidden="false" customHeight="true" outlineLevel="0" collapsed="false">
      <c r="A18" s="36" t="s">
        <v>43</v>
      </c>
      <c r="B18" s="25" t="n">
        <f aca="false">SUM(B12:B17)</f>
        <v>0</v>
      </c>
      <c r="C18" s="20" t="n">
        <f aca="false">SUM(C12:C17)</f>
        <v>0</v>
      </c>
      <c r="D18" s="37" t="str">
        <f aca="false">IFERROR(C18/C18,"")</f>
        <v/>
      </c>
    </row>
    <row r="19" customFormat="false" ht="9.75" hidden="false" customHeight="true" outlineLevel="0" collapsed="false"/>
    <row r="20" customFormat="false" ht="21.75" hidden="false" customHeight="true" outlineLevel="0" collapsed="false">
      <c r="A20" s="9" t="s">
        <v>44</v>
      </c>
      <c r="B20" s="9"/>
      <c r="C20" s="9"/>
      <c r="D20" s="9"/>
    </row>
    <row r="21" customFormat="false" ht="19.5" hidden="false" customHeight="true" outlineLevel="0" collapsed="false">
      <c r="A21" s="27" t="s">
        <v>25</v>
      </c>
      <c r="B21" s="27" t="s">
        <v>45</v>
      </c>
      <c r="C21" s="27" t="s">
        <v>46</v>
      </c>
      <c r="D21" s="27" t="s">
        <v>47</v>
      </c>
    </row>
    <row r="22" customFormat="false" ht="19.5" hidden="false" customHeight="true" outlineLevel="0" collapsed="false">
      <c r="A22" s="38" t="n">
        <f aca="false">'📝 Tagebuch'!A3</f>
        <v>0</v>
      </c>
      <c r="B22" s="39" t="n">
        <f aca="false">'📝 Tagebuch'!B3</f>
        <v>0</v>
      </c>
      <c r="C22" s="40" t="str">
        <f aca="false">IFERROR('📝 Tagebuch'!F3,"")</f>
        <v/>
      </c>
      <c r="D22" s="20" t="n">
        <f aca="false">IFERROR('📝 Tagebuch'!F3*1,0)</f>
        <v>0</v>
      </c>
    </row>
    <row r="23" customFormat="false" ht="19.5" hidden="false" customHeight="true" outlineLevel="0" collapsed="false">
      <c r="A23" s="41" t="n">
        <f aca="false">'📝 Tagebuch'!A4</f>
        <v>0</v>
      </c>
      <c r="B23" s="42" t="n">
        <f aca="false">'📝 Tagebuch'!B4</f>
        <v>0</v>
      </c>
      <c r="C23" s="43" t="str">
        <f aca="false">IFERROR('📝 Tagebuch'!F4,"")</f>
        <v/>
      </c>
      <c r="D23" s="20" t="n">
        <f aca="false">D22+IFERROR('📝 Tagebuch'!F4*1,0)</f>
        <v>0</v>
      </c>
    </row>
    <row r="24" customFormat="false" ht="19.5" hidden="false" customHeight="true" outlineLevel="0" collapsed="false">
      <c r="A24" s="38" t="n">
        <f aca="false">'📝 Tagebuch'!A5</f>
        <v>0</v>
      </c>
      <c r="B24" s="39" t="n">
        <f aca="false">'📝 Tagebuch'!B5</f>
        <v>0</v>
      </c>
      <c r="C24" s="40" t="str">
        <f aca="false">IFERROR('📝 Tagebuch'!F5,"")</f>
        <v/>
      </c>
      <c r="D24" s="20" t="n">
        <f aca="false">D23+IFERROR('📝 Tagebuch'!F5*1,0)</f>
        <v>0</v>
      </c>
    </row>
    <row r="25" customFormat="false" ht="19.5" hidden="false" customHeight="true" outlineLevel="0" collapsed="false">
      <c r="A25" s="41" t="n">
        <f aca="false">'📝 Tagebuch'!A6</f>
        <v>0</v>
      </c>
      <c r="B25" s="42" t="n">
        <f aca="false">'📝 Tagebuch'!B6</f>
        <v>0</v>
      </c>
      <c r="C25" s="43" t="str">
        <f aca="false">IFERROR('📝 Tagebuch'!F6,"")</f>
        <v/>
      </c>
      <c r="D25" s="20" t="n">
        <f aca="false">D24+IFERROR('📝 Tagebuch'!F6*1,0)</f>
        <v>0</v>
      </c>
    </row>
    <row r="26" customFormat="false" ht="19.5" hidden="false" customHeight="true" outlineLevel="0" collapsed="false">
      <c r="A26" s="38" t="n">
        <f aca="false">'📝 Tagebuch'!A7</f>
        <v>0</v>
      </c>
      <c r="B26" s="39" t="n">
        <f aca="false">'📝 Tagebuch'!B7</f>
        <v>0</v>
      </c>
      <c r="C26" s="40" t="str">
        <f aca="false">IFERROR('📝 Tagebuch'!F7,"")</f>
        <v/>
      </c>
      <c r="D26" s="20" t="n">
        <f aca="false">D25+IFERROR('📝 Tagebuch'!F7*1,0)</f>
        <v>0</v>
      </c>
    </row>
    <row r="27" customFormat="false" ht="19.5" hidden="false" customHeight="true" outlineLevel="0" collapsed="false">
      <c r="A27" s="41" t="n">
        <f aca="false">'📝 Tagebuch'!A8</f>
        <v>0</v>
      </c>
      <c r="B27" s="42" t="n">
        <f aca="false">'📝 Tagebuch'!B8</f>
        <v>0</v>
      </c>
      <c r="C27" s="43" t="str">
        <f aca="false">IFERROR('📝 Tagebuch'!F8,"")</f>
        <v/>
      </c>
      <c r="D27" s="20" t="n">
        <f aca="false">D26+IFERROR('📝 Tagebuch'!F8*1,0)</f>
        <v>0</v>
      </c>
    </row>
    <row r="28" customFormat="false" ht="19.5" hidden="false" customHeight="true" outlineLevel="0" collapsed="false">
      <c r="A28" s="38" t="n">
        <f aca="false">'📝 Tagebuch'!A9</f>
        <v>0</v>
      </c>
      <c r="B28" s="39" t="n">
        <f aca="false">'📝 Tagebuch'!B9</f>
        <v>0</v>
      </c>
      <c r="C28" s="40" t="str">
        <f aca="false">IFERROR('📝 Tagebuch'!F9,"")</f>
        <v/>
      </c>
      <c r="D28" s="20" t="n">
        <f aca="false">D27+IFERROR('📝 Tagebuch'!F9*1,0)</f>
        <v>0</v>
      </c>
    </row>
    <row r="29" customFormat="false" ht="19.5" hidden="false" customHeight="true" outlineLevel="0" collapsed="false">
      <c r="A29" s="41" t="n">
        <f aca="false">'📝 Tagebuch'!A10</f>
        <v>0</v>
      </c>
      <c r="B29" s="42" t="n">
        <f aca="false">'📝 Tagebuch'!B10</f>
        <v>0</v>
      </c>
      <c r="C29" s="43" t="str">
        <f aca="false">IFERROR('📝 Tagebuch'!F10,"")</f>
        <v/>
      </c>
      <c r="D29" s="20" t="n">
        <f aca="false">D28+IFERROR('📝 Tagebuch'!F10*1,0)</f>
        <v>0</v>
      </c>
    </row>
    <row r="30" customFormat="false" ht="19.5" hidden="false" customHeight="true" outlineLevel="0" collapsed="false">
      <c r="A30" s="38" t="n">
        <f aca="false">'📝 Tagebuch'!A11</f>
        <v>0</v>
      </c>
      <c r="B30" s="39" t="n">
        <f aca="false">'📝 Tagebuch'!B11</f>
        <v>0</v>
      </c>
      <c r="C30" s="40" t="str">
        <f aca="false">IFERROR('📝 Tagebuch'!F11,"")</f>
        <v/>
      </c>
      <c r="D30" s="20" t="n">
        <f aca="false">D29+IFERROR('📝 Tagebuch'!F11*1,0)</f>
        <v>0</v>
      </c>
    </row>
    <row r="31" customFormat="false" ht="19.5" hidden="false" customHeight="true" outlineLevel="0" collapsed="false">
      <c r="A31" s="41" t="n">
        <f aca="false">'📝 Tagebuch'!A12</f>
        <v>0</v>
      </c>
      <c r="B31" s="42" t="n">
        <f aca="false">'📝 Tagebuch'!B12</f>
        <v>0</v>
      </c>
      <c r="C31" s="43" t="str">
        <f aca="false">IFERROR('📝 Tagebuch'!F12,"")</f>
        <v/>
      </c>
      <c r="D31" s="20" t="n">
        <f aca="false">D30+IFERROR('📝 Tagebuch'!F12*1,0)</f>
        <v>0</v>
      </c>
    </row>
  </sheetData>
  <mergeCells count="5">
    <mergeCell ref="A1:D1"/>
    <mergeCell ref="A2:D2"/>
    <mergeCell ref="A4:D4"/>
    <mergeCell ref="A10:D10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2026-04-03T10:02:52Z</dcterms:created>
  <dc:creator>openpyxl</dc:creator>
  <dc:description/>
  <dc:language>en-US</dc:language>
  <cp:lastModifiedBy/>
  <dcterms:modified xsi:type="dcterms:W3CDTF">2026-04-03T10:06:20Z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