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ens/Downloads/"/>
    </mc:Choice>
  </mc:AlternateContent>
  <xr:revisionPtr revIDLastSave="0" documentId="13_ncr:1_{C4CFAABE-64A4-3049-84D1-D8AC8655666C}" xr6:coauthVersionLast="47" xr6:coauthVersionMax="47" xr10:uidLastSave="{00000000-0000-0000-0000-000000000000}"/>
  <bookViews>
    <workbookView xWindow="15940" yWindow="7880" windowWidth="30700" windowHeight="18900" tabRatio="500" xr2:uid="{00000000-000D-0000-FFFF-FFFF00000000}"/>
  </bookViews>
  <sheets>
    <sheet name="Grunddaten" sheetId="1" r:id="rId1"/>
    <sheet name="Entwicklungskosten" sheetId="2" r:id="rId2"/>
    <sheet name="TCO Projektion" sheetId="3" r:id="rId3"/>
    <sheet name="Break-Even" sheetId="4" r:id="rId4"/>
    <sheet name="SaaS Skalierung" sheetId="5" r:id="rId5"/>
    <sheet name="Alternativenvergleich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6" l="1"/>
  <c r="F8" i="6"/>
  <c r="F7" i="6"/>
  <c r="F6" i="6"/>
  <c r="G20" i="5"/>
  <c r="F20" i="5"/>
  <c r="E20" i="5"/>
  <c r="H20" i="5" s="1"/>
  <c r="D20" i="5"/>
  <c r="G19" i="5"/>
  <c r="F19" i="5"/>
  <c r="E19" i="5"/>
  <c r="H19" i="5" s="1"/>
  <c r="D19" i="5"/>
  <c r="G18" i="5"/>
  <c r="F18" i="5"/>
  <c r="E18" i="5"/>
  <c r="H18" i="5" s="1"/>
  <c r="D18" i="5"/>
  <c r="G17" i="5"/>
  <c r="F17" i="5"/>
  <c r="E17" i="5"/>
  <c r="H17" i="5" s="1"/>
  <c r="D17" i="5"/>
  <c r="G16" i="5"/>
  <c r="F16" i="5"/>
  <c r="E16" i="5"/>
  <c r="H16" i="5" s="1"/>
  <c r="D16" i="5"/>
  <c r="G15" i="5"/>
  <c r="F15" i="5"/>
  <c r="E15" i="5"/>
  <c r="H15" i="5" s="1"/>
  <c r="D15" i="5"/>
  <c r="G14" i="5"/>
  <c r="F14" i="5"/>
  <c r="E14" i="5"/>
  <c r="H14" i="5" s="1"/>
  <c r="D14" i="5"/>
  <c r="C11" i="4"/>
  <c r="E10" i="3"/>
  <c r="D10" i="3"/>
  <c r="C10" i="3"/>
  <c r="F10" i="3" s="1"/>
  <c r="E9" i="3"/>
  <c r="D9" i="3"/>
  <c r="C9" i="3"/>
  <c r="F9" i="3" s="1"/>
  <c r="E8" i="3"/>
  <c r="D8" i="3"/>
  <c r="C8" i="3"/>
  <c r="F8" i="3" s="1"/>
  <c r="E7" i="3"/>
  <c r="D7" i="3"/>
  <c r="C7" i="3"/>
  <c r="F7" i="3" s="1"/>
  <c r="E6" i="3"/>
  <c r="E11" i="3" s="1"/>
  <c r="E5" i="6" s="1"/>
  <c r="D6" i="3"/>
  <c r="D11" i="3" s="1"/>
  <c r="D5" i="6" s="1"/>
  <c r="C6" i="3"/>
  <c r="F6" i="3" s="1"/>
  <c r="E5" i="3"/>
  <c r="D5" i="3"/>
  <c r="C14" i="2"/>
  <c r="D13" i="2"/>
  <c r="D12" i="2"/>
  <c r="D11" i="2"/>
  <c r="D10" i="2"/>
  <c r="D9" i="2"/>
  <c r="D8" i="2"/>
  <c r="D7" i="2"/>
  <c r="D6" i="2"/>
  <c r="D5" i="2"/>
  <c r="D18" i="2" l="1"/>
  <c r="E13" i="2"/>
  <c r="E12" i="2"/>
  <c r="E11" i="2"/>
  <c r="E10" i="2"/>
  <c r="E9" i="2"/>
  <c r="D14" i="2"/>
  <c r="C15" i="5" s="1"/>
  <c r="E8" i="2"/>
  <c r="E7" i="2"/>
  <c r="E6" i="2"/>
  <c r="E5" i="2"/>
  <c r="I15" i="5"/>
  <c r="C17" i="4" l="1"/>
  <c r="C14" i="5"/>
  <c r="C16" i="5"/>
  <c r="I16" i="5"/>
  <c r="C17" i="5"/>
  <c r="I17" i="5"/>
  <c r="I14" i="5"/>
  <c r="C18" i="5"/>
  <c r="I18" i="5"/>
  <c r="C19" i="5"/>
  <c r="I19" i="5"/>
  <c r="C20" i="5"/>
  <c r="I20" i="5"/>
  <c r="D19" i="2"/>
  <c r="D20" i="2" s="1"/>
  <c r="C5" i="3"/>
  <c r="C11" i="3" l="1"/>
  <c r="F5" i="3"/>
  <c r="F11" i="3" s="1"/>
  <c r="F12" i="3" s="1"/>
  <c r="C14" i="4" l="1"/>
  <c r="C5" i="6"/>
  <c r="F5" i="6" s="1"/>
  <c r="C18" i="4"/>
  <c r="C19" i="4" s="1"/>
  <c r="D23" i="4" l="1"/>
  <c r="D25" i="4"/>
  <c r="D24" i="4"/>
</calcChain>
</file>

<file path=xl/sharedStrings.xml><?xml version="1.0" encoding="utf-8"?>
<sst xmlns="http://schemas.openxmlformats.org/spreadsheetml/2006/main" count="120" uniqueCount="120">
  <si>
    <t>TCO &amp; Business Case Kalkulator</t>
  </si>
  <si>
    <t>Business Engineering 2 – Vorlage für die Abgabe</t>
  </si>
  <si>
    <t>Blaue Zellen = Eure Eingaben. Schwarze Zellen = Formeln (nicht verändern).</t>
  </si>
  <si>
    <t>Projektinformationen</t>
  </si>
  <si>
    <t>Projektname</t>
  </si>
  <si>
    <t>Team / Gruppe</t>
  </si>
  <si>
    <t>Case-Beschreibung (1 Satz)</t>
  </si>
  <si>
    <t>Ideal Customer Profile (aus Semester 1)</t>
  </si>
  <si>
    <t>Kernannahmen</t>
  </si>
  <si>
    <t>Parameter</t>
  </si>
  <si>
    <t>Wert</t>
  </si>
  <si>
    <t>Einheit</t>
  </si>
  <si>
    <t>Hinweis</t>
  </si>
  <si>
    <t>Stundensatz (€/h)</t>
  </si>
  <si>
    <t>Fiktiver Stundensatz für die Kalkulation</t>
  </si>
  <si>
    <t>Steuersatz (MwSt)</t>
  </si>
  <si>
    <t>19% in Deutschland</t>
  </si>
  <si>
    <t>Kalkulationszeitraum (Jahre)</t>
  </si>
  <si>
    <t>Für die TCO-Projektion</t>
  </si>
  <si>
    <t>Hosting-Kosten pro Monat (€)</t>
  </si>
  <si>
    <t>0€ bei Free Tier (Vercel, Netlify)</t>
  </si>
  <si>
    <t>Domain-Kosten pro Jahr (€)</t>
  </si>
  <si>
    <t>Typisch: 10-15€/Jahr</t>
  </si>
  <si>
    <t>Wartung: Stunden pro Monat</t>
  </si>
  <si>
    <t>Geschätzt: Updates, Monitoring, Fixes</t>
  </si>
  <si>
    <t>Jährliche Feature-Requests (Stunden)</t>
  </si>
  <si>
    <t>Geschätzt: Neue Wünsche des Auftraggebers</t>
  </si>
  <si>
    <t>Jährliche Security-Updates (Stunden)</t>
  </si>
  <si>
    <t>Dependency-Updates, Patches</t>
  </si>
  <si>
    <t>Entwicklungskosten – Aus dem Kosten-Tagebuch</t>
  </si>
  <si>
    <t>Tragt hier eure tatsächlichen Stunden aus dem Kosten-Tagebuch ein.</t>
  </si>
  <si>
    <t>Kategorie</t>
  </si>
  <si>
    <t>Stunden</t>
  </si>
  <si>
    <t>Kosten</t>
  </si>
  <si>
    <t>Anteil</t>
  </si>
  <si>
    <t>Konzeption &amp; Design</t>
  </si>
  <si>
    <t>Recherche &amp; Lernen (Framework, JS, TS)</t>
  </si>
  <si>
    <t>Implementierung (Code schreiben)</t>
  </si>
  <si>
    <t>Debugging &amp; Fehlerbehebung</t>
  </si>
  <si>
    <t>Testing &amp; Qualitätssicherung</t>
  </si>
  <si>
    <t>Dokumentation (README, ADRs, Business Case)</t>
  </si>
  <si>
    <t>Setup &amp; Konfiguration</t>
  </si>
  <si>
    <t>Code Reviews &amp; Peer Feedback</t>
  </si>
  <si>
    <t>Präsentationsvorbereitung</t>
  </si>
  <si>
    <t>GESAMT Entwicklungskosten</t>
  </si>
  <si>
    <t>Analyse</t>
  </si>
  <si>
    <t>Davon 'Lernkosten' (Recherche &amp; Lernen + Setup)</t>
  </si>
  <si>
    <t>Davon 'Produktivkosten' (Gesamt - Lernkosten)</t>
  </si>
  <si>
    <t>Geschätzte Kosten beim 2. Projekt (ohne Lernkosten)</t>
  </si>
  <si>
    <t>Total Cost of Ownership – 3-Jahres-Projektion</t>
  </si>
  <si>
    <t>Alle laufenden Kosten über 3 Jahre. Entwicklungskosten werden aus Sheet 'Entwicklungskosten' übernommen.</t>
  </si>
  <si>
    <t>Kostenblock</t>
  </si>
  <si>
    <t>Jahr 1</t>
  </si>
  <si>
    <t>Jahr 2</t>
  </si>
  <si>
    <t>Jahr 3</t>
  </si>
  <si>
    <t>Gesamt</t>
  </si>
  <si>
    <t>Entwicklung (einmalig)</t>
  </si>
  <si>
    <t>Hosting &amp; Infrastruktur</t>
  </si>
  <si>
    <t>Domain</t>
  </si>
  <si>
    <t>Wartung &amp; Updates</t>
  </si>
  <si>
    <t>Feature-Requests</t>
  </si>
  <si>
    <t>Security-Updates</t>
  </si>
  <si>
    <t>GESAMT TCO</t>
  </si>
  <si>
    <t>Davon: Anteil Entwicklung an TCO</t>
  </si>
  <si>
    <t>Break-Even-Analyse</t>
  </si>
  <si>
    <t>Ab wann verdient die Software ihr Investment zurück?</t>
  </si>
  <si>
    <t>Monatlicher Nutzen</t>
  </si>
  <si>
    <t>Nutzen-Typ</t>
  </si>
  <si>
    <t>Monatlicher Wert (€)</t>
  </si>
  <si>
    <t>Erklärung</t>
  </si>
  <si>
    <t>Zusätzliche Verkäufe / Umsatz</t>
  </si>
  <si>
    <t>Nur bei E-Commerce Cases</t>
  </si>
  <si>
    <t>Zeitersparnis Mitarbeiter (Stunden × Stundensatz)</t>
  </si>
  <si>
    <t>Internes Tool: Gesparte manuelle Arbeit</t>
  </si>
  <si>
    <t>Reduzierte Support-Anfragen</t>
  </si>
  <si>
    <t>Weniger Anrufe/Mails durch Self-Service</t>
  </si>
  <si>
    <t>Lead-Generierung (Leads × Wert pro Lead)</t>
  </si>
  <si>
    <t>Kontaktanfragen, Registrierungen</t>
  </si>
  <si>
    <t>Sonstiger messbarer Nutzen</t>
  </si>
  <si>
    <t>Branchenspezifisch</t>
  </si>
  <si>
    <t>GESAMT Monatlicher Nutzen</t>
  </si>
  <si>
    <t>Monatliche Kosten</t>
  </si>
  <si>
    <t>Monatliche Betriebskosten (aus TCO)</t>
  </si>
  <si>
    <t>Break-Even-Berechnung</t>
  </si>
  <si>
    <t>Entwicklungskosten (Investition)</t>
  </si>
  <si>
    <t>Monatlicher Nettonutzen (Nutzen - Kosten)</t>
  </si>
  <si>
    <t>★ Break-Even in Monaten</t>
  </si>
  <si>
    <t>Sensitivitätsanalyse</t>
  </si>
  <si>
    <t>Szenario</t>
  </si>
  <si>
    <t>Nutzen-Faktor</t>
  </si>
  <si>
    <t>Break-Even (Monate)</t>
  </si>
  <si>
    <t>Pessimistisch</t>
  </si>
  <si>
    <t>Base Case</t>
  </si>
  <si>
    <t>Optimistisch</t>
  </si>
  <si>
    <t>Anzahl Kunden</t>
  </si>
  <si>
    <t>Entwicklung (einmalig, verteilt)</t>
  </si>
  <si>
    <t>Setup-Kosten (kumuliert)</t>
  </si>
  <si>
    <t>Monatl. Umsatz</t>
  </si>
  <si>
    <t>Monatl. Support-Kosten</t>
  </si>
  <si>
    <t>Monatl. Infrastruktur</t>
  </si>
  <si>
    <t>Monatl. Gewinn</t>
  </si>
  <si>
    <t>Gesamt-Kosten pro Kunde</t>
  </si>
  <si>
    <t>Erkenntnis</t>
  </si>
  <si>
    <t>Die Grenzkosten sinken mit jedem Kunden. Das ist der fundamentale Vorteil digitaler Produkte:</t>
  </si>
  <si>
    <t>Software einmal entwickeln, beliebig oft verkaufen – ohne proportionalen Kostenanstieg.</t>
  </si>
  <si>
    <t>Alternativenvergleich – Opportunity Costs</t>
  </si>
  <si>
    <t>Was hätte der Auftraggeber stattdessen mit dem Budget machen können?</t>
  </si>
  <si>
    <t>Alternative</t>
  </si>
  <si>
    <t>Kosten Jahr 1</t>
  </si>
  <si>
    <t>Kosten Jahr 2</t>
  </si>
  <si>
    <t>Kosten Jahr 3</t>
  </si>
  <si>
    <t>Kosten 3 Jahre</t>
  </si>
  <si>
    <t>Eure Custom-Lösung</t>
  </si>
  <si>
    <t>Shopify / Wix (Abo-Modell)</t>
  </si>
  <si>
    <t>WordPress + Premium Theme</t>
  </si>
  <si>
    <t>Agentur beauftragen</t>
  </si>
  <si>
    <t>Nichts tun (Status quo)</t>
  </si>
  <si>
    <t>Hinweis: Recherchiert realistische Kosten für die Alternativen.</t>
  </si>
  <si>
    <t>Shopify: ~30-300€/Monat. WordPress: ~500-2.000€ Setup + Hosting. Agentur: 80-150€/h.</t>
  </si>
  <si>
    <t>'Nichts tun' hat auch Kosten: Verlorene Kunden, manuelle Prozesse, Wettbewerbsnachteil.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</si>
</sst>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€"/>
    <numFmt numFmtId="165" formatCode="0.0%"/>
    <numFmt numFmtId="166" formatCode="#,##0.0"/>
    <numFmt numFmtId="167" formatCode="0.0"/>
  </numFmts>
  <fonts count="12" x14ac:knownFonts="1">
    <font>
      <sz val="11"/>
      <color theme="1"/>
      <name val="Calibri"/>
      <family val="2"/>
      <charset val="1"/>
    </font>
    <font>
      <b/>
      <sz val="16"/>
      <color rgb="FF1A1A2E"/>
      <name val="Arial"/>
      <family val="2"/>
    </font>
    <font>
      <i/>
      <sz val="10"/>
      <color rgb="FF555555"/>
      <name val="Arial"/>
      <family val="2"/>
    </font>
    <font>
      <i/>
      <sz val="10"/>
      <color rgb="FF0000FF"/>
      <name val="Arial"/>
      <family val="2"/>
    </font>
    <font>
      <b/>
      <sz val="13"/>
      <color rgb="FF1A1A2E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i/>
      <sz val="9"/>
      <color rgb="FF888888"/>
      <name val="Arial"/>
      <family val="2"/>
    </font>
    <font>
      <b/>
      <sz val="11"/>
      <color rgb="FF000000"/>
      <name val="Arial"/>
      <family val="2"/>
    </font>
    <font>
      <b/>
      <sz val="12"/>
      <color rgb="FF1B5E20"/>
      <name val="Arial"/>
      <family val="2"/>
    </font>
    <font>
      <b/>
      <sz val="11"/>
      <color rgb="FF1B5E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8F0FE"/>
        <bgColor rgb="FFE8F5E9"/>
      </patternFill>
    </fill>
    <fill>
      <patternFill patternType="solid">
        <fgColor rgb="FF2D4A7A"/>
        <bgColor rgb="FF555555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8F0FE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A1A2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2" borderId="3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2" xfId="0" applyFont="1" applyBorder="1" applyAlignment="1">
      <alignment vertic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0" fontId="0" fillId="0" borderId="2" xfId="0" applyBorder="1"/>
    <xf numFmtId="0" fontId="8" fillId="0" borderId="2" xfId="0" applyFont="1" applyBorder="1"/>
    <xf numFmtId="165" fontId="6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166" fontId="6" fillId="2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166" fontId="6" fillId="2" borderId="2" xfId="0" applyNumberFormat="1" applyFont="1" applyFill="1" applyBorder="1"/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0" fontId="9" fillId="0" borderId="2" xfId="0" applyFont="1" applyBorder="1" applyAlignment="1">
      <alignment vertical="center"/>
    </xf>
    <xf numFmtId="166" fontId="10" fillId="5" borderId="2" xfId="0" applyNumberFormat="1" applyFont="1" applyFill="1" applyBorder="1"/>
    <xf numFmtId="164" fontId="10" fillId="5" borderId="2" xfId="0" applyNumberFormat="1" applyFont="1" applyFill="1" applyBorder="1"/>
    <xf numFmtId="165" fontId="10" fillId="5" borderId="2" xfId="0" applyNumberFormat="1" applyFont="1" applyFill="1" applyBorder="1"/>
    <xf numFmtId="0" fontId="5" fillId="0" borderId="2" xfId="0" applyFont="1" applyBorder="1"/>
    <xf numFmtId="164" fontId="10" fillId="5" borderId="2" xfId="0" applyNumberFormat="1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167" fontId="10" fillId="5" borderId="2" xfId="0" applyNumberFormat="1" applyFont="1" applyFill="1" applyBorder="1" applyAlignment="1">
      <alignment horizontal="center"/>
    </xf>
    <xf numFmtId="167" fontId="5" fillId="4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164" fontId="11" fillId="4" borderId="2" xfId="0" applyNumberFormat="1" applyFont="1" applyFill="1" applyBorder="1"/>
    <xf numFmtId="164" fontId="6" fillId="2" borderId="2" xfId="0" applyNumberFormat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7B1FA2"/>
      <rgbColor rgb="FF008080"/>
      <rgbColor rgb="FFCCCCCC"/>
      <rgbColor rgb="FF888888"/>
      <rgbColor rgb="FF9999FF"/>
      <rgbColor rgb="FF993366"/>
      <rgbColor rgb="FFE8F5E9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C00"/>
      <rgbColor rgb="FF555555"/>
      <rgbColor rgb="FF969696"/>
      <rgbColor rgb="FF003366"/>
      <rgbColor rgb="FF388E3C"/>
      <rgbColor rgb="FF003300"/>
      <rgbColor rgb="FF333300"/>
      <rgbColor rgb="FFC62828"/>
      <rgbColor rgb="FF993366"/>
      <rgbColor rgb="FF2D4A7A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B1:E21"/>
  <sheetViews>
    <sheetView tabSelected="1" zoomScaleNormal="100" workbookViewId="0">
      <selection activeCell="C19" sqref="C19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22" customWidth="1"/>
    <col min="4" max="4" width="14" customWidth="1"/>
    <col min="5" max="5" width="40" customWidth="1"/>
  </cols>
  <sheetData>
    <row r="1" spans="2:5" ht="20" x14ac:dyDescent="0.2">
      <c r="B1" s="2" t="s">
        <v>0</v>
      </c>
    </row>
    <row r="2" spans="2:5" x14ac:dyDescent="0.2">
      <c r="B2" s="3" t="s">
        <v>1</v>
      </c>
    </row>
    <row r="3" spans="2:5" x14ac:dyDescent="0.2">
      <c r="B3" s="4" t="s">
        <v>2</v>
      </c>
    </row>
    <row r="5" spans="2:5" ht="17" x14ac:dyDescent="0.2">
      <c r="B5" s="5" t="s">
        <v>3</v>
      </c>
      <c r="C5" s="6"/>
      <c r="D5" s="6"/>
    </row>
    <row r="7" spans="2:5" x14ac:dyDescent="0.2">
      <c r="B7" s="7" t="s">
        <v>4</v>
      </c>
      <c r="C7" s="1"/>
      <c r="D7" s="1"/>
    </row>
    <row r="8" spans="2:5" x14ac:dyDescent="0.2">
      <c r="B8" s="7" t="s">
        <v>5</v>
      </c>
      <c r="C8" s="1"/>
      <c r="D8" s="1"/>
    </row>
    <row r="9" spans="2:5" x14ac:dyDescent="0.2">
      <c r="B9" s="7" t="s">
        <v>6</v>
      </c>
      <c r="C9" s="1"/>
      <c r="D9" s="1"/>
    </row>
    <row r="10" spans="2:5" x14ac:dyDescent="0.2">
      <c r="B10" s="7" t="s">
        <v>7</v>
      </c>
      <c r="C10" s="1"/>
      <c r="D10" s="1"/>
    </row>
    <row r="12" spans="2:5" ht="17" x14ac:dyDescent="0.2">
      <c r="B12" s="5" t="s">
        <v>8</v>
      </c>
      <c r="C12" s="6"/>
      <c r="D12" s="6"/>
    </row>
    <row r="13" spans="2:5" x14ac:dyDescent="0.2">
      <c r="B13" s="8" t="s">
        <v>9</v>
      </c>
      <c r="C13" s="9" t="s">
        <v>10</v>
      </c>
      <c r="D13" s="8" t="s">
        <v>11</v>
      </c>
      <c r="E13" s="8" t="s">
        <v>12</v>
      </c>
    </row>
    <row r="14" spans="2:5" x14ac:dyDescent="0.2">
      <c r="B14" s="7" t="s">
        <v>13</v>
      </c>
      <c r="C14" s="10">
        <v>100</v>
      </c>
      <c r="D14" s="11"/>
      <c r="E14" s="12" t="s">
        <v>14</v>
      </c>
    </row>
    <row r="15" spans="2:5" x14ac:dyDescent="0.2">
      <c r="B15" s="7" t="s">
        <v>15</v>
      </c>
      <c r="C15" s="13">
        <v>0.19</v>
      </c>
      <c r="D15" s="11"/>
      <c r="E15" s="12" t="s">
        <v>16</v>
      </c>
    </row>
    <row r="16" spans="2:5" x14ac:dyDescent="0.2">
      <c r="B16" s="7" t="s">
        <v>17</v>
      </c>
      <c r="C16" s="14">
        <v>3</v>
      </c>
      <c r="D16" s="11"/>
      <c r="E16" s="12" t="s">
        <v>18</v>
      </c>
    </row>
    <row r="17" spans="2:5" x14ac:dyDescent="0.2">
      <c r="B17" s="7" t="s">
        <v>19</v>
      </c>
      <c r="C17" s="10">
        <v>0</v>
      </c>
      <c r="D17" s="11"/>
      <c r="E17" s="12" t="s">
        <v>20</v>
      </c>
    </row>
    <row r="18" spans="2:5" x14ac:dyDescent="0.2">
      <c r="B18" s="7" t="s">
        <v>21</v>
      </c>
      <c r="C18" s="10">
        <v>0</v>
      </c>
      <c r="D18" s="11"/>
      <c r="E18" s="12" t="s">
        <v>22</v>
      </c>
    </row>
    <row r="19" spans="2:5" x14ac:dyDescent="0.2">
      <c r="B19" s="7" t="s">
        <v>23</v>
      </c>
      <c r="C19" s="15">
        <v>0</v>
      </c>
      <c r="D19" s="11"/>
      <c r="E19" s="12" t="s">
        <v>24</v>
      </c>
    </row>
    <row r="20" spans="2:5" x14ac:dyDescent="0.2">
      <c r="B20" s="7" t="s">
        <v>25</v>
      </c>
      <c r="C20" s="14">
        <v>0</v>
      </c>
      <c r="D20" s="11"/>
      <c r="E20" s="12" t="s">
        <v>26</v>
      </c>
    </row>
    <row r="21" spans="2:5" x14ac:dyDescent="0.2">
      <c r="B21" s="7" t="s">
        <v>27</v>
      </c>
      <c r="C21" s="14">
        <v>0</v>
      </c>
      <c r="D21" s="11"/>
      <c r="E21" s="12" t="s">
        <v>28</v>
      </c>
    </row>
  </sheetData>
  <mergeCells count="4">
    <mergeCell ref="C7:D7"/>
    <mergeCell ref="C8:D8"/>
    <mergeCell ref="C9:D9"/>
    <mergeCell ref="C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4A7A"/>
  </sheetPr>
  <dimension ref="A1:E20"/>
  <sheetViews>
    <sheetView zoomScaleNormal="100" workbookViewId="0">
      <selection activeCell="C14" sqref="C14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16" customWidth="1"/>
    <col min="4" max="4" width="18" customWidth="1"/>
    <col min="5" max="5" width="14" customWidth="1"/>
  </cols>
  <sheetData>
    <row r="1" spans="1:5" ht="20" x14ac:dyDescent="0.2">
      <c r="B1" s="2" t="s">
        <v>29</v>
      </c>
    </row>
    <row r="2" spans="1:5" x14ac:dyDescent="0.2">
      <c r="B2" s="3" t="s">
        <v>30</v>
      </c>
    </row>
    <row r="4" spans="1:5" x14ac:dyDescent="0.2">
      <c r="A4" s="16"/>
      <c r="B4" s="16" t="s">
        <v>31</v>
      </c>
      <c r="C4" s="16" t="s">
        <v>32</v>
      </c>
      <c r="D4" s="16" t="s">
        <v>33</v>
      </c>
      <c r="E4" s="16" t="s">
        <v>34</v>
      </c>
    </row>
    <row r="5" spans="1:5" x14ac:dyDescent="0.2">
      <c r="B5" s="7" t="s">
        <v>35</v>
      </c>
      <c r="C5" s="17">
        <v>0</v>
      </c>
      <c r="D5" s="18">
        <f>C5*Grunddaten!C14</f>
        <v>0</v>
      </c>
      <c r="E5" s="19">
        <f t="shared" ref="E5:E13" si="0">IF(C$14=0,0,C5/C$14)</f>
        <v>0</v>
      </c>
    </row>
    <row r="6" spans="1:5" x14ac:dyDescent="0.2">
      <c r="B6" s="7" t="s">
        <v>36</v>
      </c>
      <c r="C6" s="17">
        <v>0</v>
      </c>
      <c r="D6" s="18">
        <f>C6*Grunddaten!C14</f>
        <v>0</v>
      </c>
      <c r="E6" s="19">
        <f t="shared" si="0"/>
        <v>0</v>
      </c>
    </row>
    <row r="7" spans="1:5" x14ac:dyDescent="0.2">
      <c r="B7" s="7" t="s">
        <v>37</v>
      </c>
      <c r="C7" s="17">
        <v>0</v>
      </c>
      <c r="D7" s="18">
        <f>C7*Grunddaten!C14</f>
        <v>0</v>
      </c>
      <c r="E7" s="19">
        <f t="shared" si="0"/>
        <v>0</v>
      </c>
    </row>
    <row r="8" spans="1:5" x14ac:dyDescent="0.2">
      <c r="B8" s="7" t="s">
        <v>38</v>
      </c>
      <c r="C8" s="17">
        <v>0</v>
      </c>
      <c r="D8" s="18">
        <f>C8*Grunddaten!C14</f>
        <v>0</v>
      </c>
      <c r="E8" s="19">
        <f t="shared" si="0"/>
        <v>0</v>
      </c>
    </row>
    <row r="9" spans="1:5" x14ac:dyDescent="0.2">
      <c r="B9" s="7" t="s">
        <v>39</v>
      </c>
      <c r="C9" s="17">
        <v>0</v>
      </c>
      <c r="D9" s="18">
        <f>C9*Grunddaten!C14</f>
        <v>0</v>
      </c>
      <c r="E9" s="19">
        <f t="shared" si="0"/>
        <v>0</v>
      </c>
    </row>
    <row r="10" spans="1:5" x14ac:dyDescent="0.2">
      <c r="B10" s="7" t="s">
        <v>40</v>
      </c>
      <c r="C10" s="17">
        <v>0</v>
      </c>
      <c r="D10" s="18">
        <f>C10*Grunddaten!C14</f>
        <v>0</v>
      </c>
      <c r="E10" s="19">
        <f t="shared" si="0"/>
        <v>0</v>
      </c>
    </row>
    <row r="11" spans="1:5" x14ac:dyDescent="0.2">
      <c r="B11" s="7" t="s">
        <v>41</v>
      </c>
      <c r="C11" s="17">
        <v>0</v>
      </c>
      <c r="D11" s="18">
        <f>C11*Grunddaten!C14</f>
        <v>0</v>
      </c>
      <c r="E11" s="19">
        <f t="shared" si="0"/>
        <v>0</v>
      </c>
    </row>
    <row r="12" spans="1:5" x14ac:dyDescent="0.2">
      <c r="B12" s="7" t="s">
        <v>42</v>
      </c>
      <c r="C12" s="17">
        <v>0</v>
      </c>
      <c r="D12" s="18">
        <f>C12*Grunddaten!C14</f>
        <v>0</v>
      </c>
      <c r="E12" s="19">
        <f t="shared" si="0"/>
        <v>0</v>
      </c>
    </row>
    <row r="13" spans="1:5" x14ac:dyDescent="0.2">
      <c r="B13" s="7" t="s">
        <v>43</v>
      </c>
      <c r="C13" s="17">
        <v>0</v>
      </c>
      <c r="D13" s="18">
        <f>C13*Grunddaten!C14</f>
        <v>0</v>
      </c>
      <c r="E13" s="19">
        <f t="shared" si="0"/>
        <v>0</v>
      </c>
    </row>
    <row r="14" spans="1:5" ht="16" x14ac:dyDescent="0.2">
      <c r="B14" s="20" t="s">
        <v>44</v>
      </c>
      <c r="C14" s="21">
        <f>SUM(C5:C13)</f>
        <v>0</v>
      </c>
      <c r="D14" s="22">
        <f>SUM(D5:D13)</f>
        <v>0</v>
      </c>
      <c r="E14" s="23">
        <v>1</v>
      </c>
    </row>
    <row r="17" spans="2:5" ht="17" x14ac:dyDescent="0.2">
      <c r="B17" s="5" t="s">
        <v>45</v>
      </c>
      <c r="C17" s="6"/>
      <c r="D17" s="6"/>
      <c r="E17" s="6"/>
    </row>
    <row r="18" spans="2:5" x14ac:dyDescent="0.2">
      <c r="B18" s="24" t="s">
        <v>46</v>
      </c>
      <c r="D18" s="18">
        <f>D6+D11</f>
        <v>0</v>
      </c>
    </row>
    <row r="19" spans="2:5" x14ac:dyDescent="0.2">
      <c r="B19" s="24" t="s">
        <v>47</v>
      </c>
      <c r="D19" s="18">
        <f>D14-D18</f>
        <v>0</v>
      </c>
    </row>
    <row r="20" spans="2:5" ht="16" x14ac:dyDescent="0.2">
      <c r="B20" s="24" t="s">
        <v>48</v>
      </c>
      <c r="D20" s="22">
        <f>D19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8E3C"/>
  </sheetPr>
  <dimension ref="A1:F12"/>
  <sheetViews>
    <sheetView zoomScaleNormal="100" workbookViewId="0">
      <selection activeCell="B11" sqref="B11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6" width="18" customWidth="1"/>
  </cols>
  <sheetData>
    <row r="1" spans="1:6" ht="20" x14ac:dyDescent="0.2">
      <c r="B1" s="2" t="s">
        <v>49</v>
      </c>
    </row>
    <row r="2" spans="1:6" x14ac:dyDescent="0.2">
      <c r="B2" s="3" t="s">
        <v>50</v>
      </c>
    </row>
    <row r="4" spans="1:6" x14ac:dyDescent="0.2">
      <c r="A4" s="16"/>
      <c r="B4" s="16" t="s">
        <v>51</v>
      </c>
      <c r="C4" s="16" t="s">
        <v>52</v>
      </c>
      <c r="D4" s="16" t="s">
        <v>53</v>
      </c>
      <c r="E4" s="16" t="s">
        <v>54</v>
      </c>
      <c r="F4" s="16" t="s">
        <v>55</v>
      </c>
    </row>
    <row r="5" spans="1:6" x14ac:dyDescent="0.2">
      <c r="B5" s="7" t="s">
        <v>56</v>
      </c>
      <c r="C5" s="18">
        <f>Entwicklungskosten!D14</f>
        <v>0</v>
      </c>
      <c r="D5" s="18">
        <f>0</f>
        <v>0</v>
      </c>
      <c r="E5" s="18">
        <f>0</f>
        <v>0</v>
      </c>
      <c r="F5" s="18">
        <f t="shared" ref="F5:F10" si="0">SUM(C5:E5)</f>
        <v>0</v>
      </c>
    </row>
    <row r="6" spans="1:6" x14ac:dyDescent="0.2">
      <c r="B6" s="7" t="s">
        <v>57</v>
      </c>
      <c r="C6" s="18">
        <f>Grunddaten!C17*12</f>
        <v>0</v>
      </c>
      <c r="D6" s="18">
        <f>Grunddaten!C17*12</f>
        <v>0</v>
      </c>
      <c r="E6" s="18">
        <f>Grunddaten!C17*12</f>
        <v>0</v>
      </c>
      <c r="F6" s="18">
        <f t="shared" si="0"/>
        <v>0</v>
      </c>
    </row>
    <row r="7" spans="1:6" x14ac:dyDescent="0.2">
      <c r="B7" s="7" t="s">
        <v>58</v>
      </c>
      <c r="C7" s="18">
        <f>Grunddaten!C18</f>
        <v>0</v>
      </c>
      <c r="D7" s="18">
        <f>Grunddaten!C18</f>
        <v>0</v>
      </c>
      <c r="E7" s="18">
        <f>Grunddaten!C18</f>
        <v>0</v>
      </c>
      <c r="F7" s="18">
        <f t="shared" si="0"/>
        <v>0</v>
      </c>
    </row>
    <row r="8" spans="1:6" x14ac:dyDescent="0.2">
      <c r="B8" s="7" t="s">
        <v>59</v>
      </c>
      <c r="C8" s="18">
        <f>Grunddaten!C19*12*Grunddaten!C14</f>
        <v>0</v>
      </c>
      <c r="D8" s="18">
        <f>Grunddaten!C19*12*Grunddaten!C14</f>
        <v>0</v>
      </c>
      <c r="E8" s="18">
        <f>Grunddaten!C19*12*Grunddaten!C14</f>
        <v>0</v>
      </c>
      <c r="F8" s="18">
        <f t="shared" si="0"/>
        <v>0</v>
      </c>
    </row>
    <row r="9" spans="1:6" x14ac:dyDescent="0.2">
      <c r="B9" s="7" t="s">
        <v>60</v>
      </c>
      <c r="C9" s="18">
        <f>Grunddaten!C20*Grunddaten!C14</f>
        <v>0</v>
      </c>
      <c r="D9" s="18">
        <f>Grunddaten!C20*Grunddaten!C14*1.5</f>
        <v>0</v>
      </c>
      <c r="E9" s="18">
        <f>Grunddaten!C20*Grunddaten!C14*2</f>
        <v>0</v>
      </c>
      <c r="F9" s="18">
        <f t="shared" si="0"/>
        <v>0</v>
      </c>
    </row>
    <row r="10" spans="1:6" x14ac:dyDescent="0.2">
      <c r="B10" s="7" t="s">
        <v>61</v>
      </c>
      <c r="C10" s="18">
        <f>Grunddaten!C21*Grunddaten!C14</f>
        <v>0</v>
      </c>
      <c r="D10" s="18">
        <f>Grunddaten!C21*Grunddaten!C14</f>
        <v>0</v>
      </c>
      <c r="E10" s="18">
        <f>Grunddaten!C21*Grunddaten!C14</f>
        <v>0</v>
      </c>
      <c r="F10" s="18">
        <f t="shared" si="0"/>
        <v>0</v>
      </c>
    </row>
    <row r="11" spans="1:6" ht="16" x14ac:dyDescent="0.2">
      <c r="B11" s="20" t="s">
        <v>62</v>
      </c>
      <c r="C11" s="22">
        <f>SUM(C5:C10)</f>
        <v>0</v>
      </c>
      <c r="D11" s="22">
        <f>SUM(D5:D10)</f>
        <v>0</v>
      </c>
      <c r="E11" s="22">
        <f>SUM(E5:E10)</f>
        <v>0</v>
      </c>
      <c r="F11" s="22">
        <f>SUM(F5:F10)</f>
        <v>0</v>
      </c>
    </row>
    <row r="12" spans="1:6" x14ac:dyDescent="0.2">
      <c r="B12" s="7" t="s">
        <v>63</v>
      </c>
      <c r="F12" s="19" t="e">
        <f>C5/F11</f>
        <v>#DIV/0!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7C00"/>
  </sheetPr>
  <dimension ref="A1:E25"/>
  <sheetViews>
    <sheetView zoomScaleNormal="100" workbookViewId="0">
      <selection activeCell="C12" sqref="C12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22" customWidth="1"/>
    <col min="4" max="4" width="14" customWidth="1"/>
    <col min="5" max="5" width="40" customWidth="1"/>
  </cols>
  <sheetData>
    <row r="1" spans="2:5" ht="20" x14ac:dyDescent="0.2">
      <c r="B1" s="2" t="s">
        <v>64</v>
      </c>
    </row>
    <row r="2" spans="2:5" x14ac:dyDescent="0.2">
      <c r="B2" s="3" t="s">
        <v>65</v>
      </c>
    </row>
    <row r="4" spans="2:5" ht="17" x14ac:dyDescent="0.2">
      <c r="B4" s="5" t="s">
        <v>66</v>
      </c>
      <c r="C4" s="6"/>
      <c r="D4" s="6"/>
    </row>
    <row r="5" spans="2:5" x14ac:dyDescent="0.2">
      <c r="B5" s="8" t="s">
        <v>67</v>
      </c>
      <c r="C5" s="9" t="s">
        <v>68</v>
      </c>
      <c r="E5" s="8" t="s">
        <v>69</v>
      </c>
    </row>
    <row r="6" spans="2:5" x14ac:dyDescent="0.2">
      <c r="B6" s="7" t="s">
        <v>70</v>
      </c>
      <c r="C6" s="10">
        <v>0</v>
      </c>
      <c r="E6" s="12" t="s">
        <v>71</v>
      </c>
    </row>
    <row r="7" spans="2:5" x14ac:dyDescent="0.2">
      <c r="B7" s="7" t="s">
        <v>72</v>
      </c>
      <c r="C7" s="10">
        <v>0</v>
      </c>
      <c r="E7" s="12" t="s">
        <v>73</v>
      </c>
    </row>
    <row r="8" spans="2:5" x14ac:dyDescent="0.2">
      <c r="B8" s="7" t="s">
        <v>74</v>
      </c>
      <c r="C8" s="10">
        <v>0</v>
      </c>
      <c r="E8" s="12" t="s">
        <v>75</v>
      </c>
    </row>
    <row r="9" spans="2:5" x14ac:dyDescent="0.2">
      <c r="B9" s="7" t="s">
        <v>76</v>
      </c>
      <c r="C9" s="10">
        <v>0</v>
      </c>
      <c r="E9" s="12" t="s">
        <v>77</v>
      </c>
    </row>
    <row r="10" spans="2:5" x14ac:dyDescent="0.2">
      <c r="B10" s="7" t="s">
        <v>78</v>
      </c>
      <c r="C10" s="10">
        <v>0</v>
      </c>
      <c r="E10" s="12" t="s">
        <v>79</v>
      </c>
    </row>
    <row r="11" spans="2:5" ht="16" x14ac:dyDescent="0.2">
      <c r="B11" s="20" t="s">
        <v>80</v>
      </c>
      <c r="C11" s="25">
        <f>SUM(C6:C10)</f>
        <v>0</v>
      </c>
    </row>
    <row r="13" spans="2:5" ht="17" x14ac:dyDescent="0.2">
      <c r="B13" s="5" t="s">
        <v>81</v>
      </c>
      <c r="C13" s="6"/>
      <c r="D13" s="6"/>
    </row>
    <row r="14" spans="2:5" x14ac:dyDescent="0.2">
      <c r="B14" s="7" t="s">
        <v>82</v>
      </c>
      <c r="C14" s="26">
        <f>('TCO Projektion'!C11-'TCO Projektion'!C5)/12</f>
        <v>0</v>
      </c>
    </row>
    <row r="16" spans="2:5" ht="17" x14ac:dyDescent="0.2">
      <c r="B16" s="5" t="s">
        <v>83</v>
      </c>
      <c r="C16" s="6"/>
      <c r="D16" s="6"/>
    </row>
    <row r="17" spans="1:4" x14ac:dyDescent="0.2">
      <c r="B17" s="20" t="s">
        <v>84</v>
      </c>
      <c r="C17" s="26">
        <f>Entwicklungskosten!D14</f>
        <v>0</v>
      </c>
    </row>
    <row r="18" spans="1:4" x14ac:dyDescent="0.2">
      <c r="B18" s="20" t="s">
        <v>85</v>
      </c>
      <c r="C18" s="26">
        <f>C11-C14</f>
        <v>0</v>
      </c>
    </row>
    <row r="19" spans="1:4" ht="16" x14ac:dyDescent="0.2">
      <c r="B19" s="20" t="s">
        <v>86</v>
      </c>
      <c r="C19" s="27" t="str">
        <f>IF(C18&lt;=0,"Nie",C17/C18)</f>
        <v>Nie</v>
      </c>
    </row>
    <row r="21" spans="1:4" ht="17" x14ac:dyDescent="0.2">
      <c r="B21" s="5" t="s">
        <v>87</v>
      </c>
      <c r="C21" s="6"/>
      <c r="D21" s="6"/>
    </row>
    <row r="22" spans="1:4" ht="30" x14ac:dyDescent="0.2">
      <c r="A22" s="16"/>
      <c r="B22" s="16" t="s">
        <v>88</v>
      </c>
      <c r="C22" s="16" t="s">
        <v>89</v>
      </c>
      <c r="D22" s="16" t="s">
        <v>90</v>
      </c>
    </row>
    <row r="23" spans="1:4" x14ac:dyDescent="0.2">
      <c r="B23" s="7" t="s">
        <v>91</v>
      </c>
      <c r="C23" s="13">
        <v>0.5</v>
      </c>
      <c r="D23" s="28" t="str">
        <f>IF((C11*C23-C14)&lt;=0,"Nie",C17/(C11*C23-C14))</f>
        <v>Nie</v>
      </c>
    </row>
    <row r="24" spans="1:4" x14ac:dyDescent="0.2">
      <c r="B24" s="7" t="s">
        <v>92</v>
      </c>
      <c r="C24" s="13">
        <v>1</v>
      </c>
      <c r="D24" s="28" t="str">
        <f>IF((C11*C24-C14)&lt;=0,"Nie",C17/(C11*C24-C14))</f>
        <v>Nie</v>
      </c>
    </row>
    <row r="25" spans="1:4" x14ac:dyDescent="0.2">
      <c r="B25" s="7" t="s">
        <v>93</v>
      </c>
      <c r="C25" s="13">
        <v>2</v>
      </c>
      <c r="D25" s="28" t="str">
        <f>IF((C11*C25-C14)&lt;=0,"Nie",C17/(C11*C25-C14))</f>
        <v>Nie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1FA2"/>
  </sheetPr>
  <dimension ref="B13:I24"/>
  <sheetViews>
    <sheetView zoomScaleNormal="100" workbookViewId="0">
      <selection activeCell="G19" sqref="G19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8" width="18" customWidth="1"/>
    <col min="9" max="9" width="22" customWidth="1"/>
  </cols>
  <sheetData>
    <row r="13" spans="2:9" ht="31" x14ac:dyDescent="0.2"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s="29" t="s">
        <v>101</v>
      </c>
    </row>
    <row r="14" spans="2:9" x14ac:dyDescent="0.2">
      <c r="B14" s="30">
        <v>1</v>
      </c>
      <c r="C14" s="18">
        <f>Entwicklungskosten!D14/B14</f>
        <v>0</v>
      </c>
      <c r="D14" s="18">
        <f>(B14-1)*'SaaS Skalierung'!C7*Grunddaten!C14</f>
        <v>0</v>
      </c>
      <c r="E14" s="18">
        <f>B14*C6</f>
        <v>0</v>
      </c>
      <c r="F14" s="18">
        <f>B14*C8*Grunddaten!C14</f>
        <v>0</v>
      </c>
      <c r="G14" s="18">
        <f>B14*C9</f>
        <v>0</v>
      </c>
      <c r="H14" s="31">
        <f t="shared" ref="H14:H20" si="0">E14-F14-G14</f>
        <v>0</v>
      </c>
      <c r="I14" s="18">
        <f>(Entwicklungskosten!D14+D14)/B14</f>
        <v>0</v>
      </c>
    </row>
    <row r="15" spans="2:9" x14ac:dyDescent="0.2">
      <c r="B15" s="30">
        <v>2</v>
      </c>
      <c r="C15" s="18">
        <f>Entwicklungskosten!D14/B15</f>
        <v>0</v>
      </c>
      <c r="D15" s="18">
        <f>(B15-1)*'SaaS Skalierung'!C7*Grunddaten!C14</f>
        <v>0</v>
      </c>
      <c r="E15" s="18">
        <f>B15*C6</f>
        <v>0</v>
      </c>
      <c r="F15" s="18">
        <f>B15*C8*Grunddaten!C14</f>
        <v>0</v>
      </c>
      <c r="G15" s="18">
        <f>B15*C9</f>
        <v>0</v>
      </c>
      <c r="H15" s="31">
        <f t="shared" si="0"/>
        <v>0</v>
      </c>
      <c r="I15" s="18">
        <f>(Entwicklungskosten!D14+D15)/B15</f>
        <v>0</v>
      </c>
    </row>
    <row r="16" spans="2:9" x14ac:dyDescent="0.2">
      <c r="B16" s="30">
        <v>5</v>
      </c>
      <c r="C16" s="18">
        <f>Entwicklungskosten!D14/B16</f>
        <v>0</v>
      </c>
      <c r="D16" s="18">
        <f>(B16-1)*'SaaS Skalierung'!C7*Grunddaten!C14</f>
        <v>0</v>
      </c>
      <c r="E16" s="18">
        <f>B16*C6</f>
        <v>0</v>
      </c>
      <c r="F16" s="18">
        <f>B16*C8*Grunddaten!C14</f>
        <v>0</v>
      </c>
      <c r="G16" s="18">
        <f>B16*C9</f>
        <v>0</v>
      </c>
      <c r="H16" s="31">
        <f t="shared" si="0"/>
        <v>0</v>
      </c>
      <c r="I16" s="18">
        <f>(Entwicklungskosten!D14+D16)/B16</f>
        <v>0</v>
      </c>
    </row>
    <row r="17" spans="2:9" x14ac:dyDescent="0.2">
      <c r="B17" s="30">
        <v>10</v>
      </c>
      <c r="C17" s="18">
        <f>Entwicklungskosten!D14/B17</f>
        <v>0</v>
      </c>
      <c r="D17" s="18">
        <f>(B17-1)*'SaaS Skalierung'!C7*Grunddaten!C14</f>
        <v>0</v>
      </c>
      <c r="E17" s="18">
        <f>B17*C6</f>
        <v>0</v>
      </c>
      <c r="F17" s="18">
        <f>B17*C8*Grunddaten!C14</f>
        <v>0</v>
      </c>
      <c r="G17" s="18">
        <f>B17*C9</f>
        <v>0</v>
      </c>
      <c r="H17" s="31">
        <f t="shared" si="0"/>
        <v>0</v>
      </c>
      <c r="I17" s="18">
        <f>(Entwicklungskosten!D14+D17)/B17</f>
        <v>0</v>
      </c>
    </row>
    <row r="18" spans="2:9" x14ac:dyDescent="0.2">
      <c r="B18" s="30">
        <v>25</v>
      </c>
      <c r="C18" s="18">
        <f>Entwicklungskosten!D14/B18</f>
        <v>0</v>
      </c>
      <c r="D18" s="18">
        <f>(B18-1)*'SaaS Skalierung'!C7*Grunddaten!C14</f>
        <v>0</v>
      </c>
      <c r="E18" s="18">
        <f>B18*C6</f>
        <v>0</v>
      </c>
      <c r="F18" s="18">
        <f>B18*C8*Grunddaten!C14</f>
        <v>0</v>
      </c>
      <c r="G18" s="18">
        <f>B18*C9</f>
        <v>0</v>
      </c>
      <c r="H18" s="31">
        <f t="shared" si="0"/>
        <v>0</v>
      </c>
      <c r="I18" s="18">
        <f>(Entwicklungskosten!D14+D18)/B18</f>
        <v>0</v>
      </c>
    </row>
    <row r="19" spans="2:9" x14ac:dyDescent="0.2">
      <c r="B19" s="30">
        <v>50</v>
      </c>
      <c r="C19" s="18">
        <f>Entwicklungskosten!D14/B19</f>
        <v>0</v>
      </c>
      <c r="D19" s="18">
        <f>(B19-1)*'SaaS Skalierung'!C7*Grunddaten!C14</f>
        <v>0</v>
      </c>
      <c r="E19" s="18">
        <f>B19*C6</f>
        <v>0</v>
      </c>
      <c r="F19" s="18">
        <f>B19*C8*Grunddaten!C14</f>
        <v>0</v>
      </c>
      <c r="G19" s="18">
        <f>B19*C9</f>
        <v>0</v>
      </c>
      <c r="H19" s="31">
        <f t="shared" si="0"/>
        <v>0</v>
      </c>
      <c r="I19" s="18">
        <f>(Entwicklungskosten!D14+D19)/B19</f>
        <v>0</v>
      </c>
    </row>
    <row r="20" spans="2:9" x14ac:dyDescent="0.2">
      <c r="B20" s="30">
        <v>100</v>
      </c>
      <c r="C20" s="18">
        <f>Entwicklungskosten!D14/B20</f>
        <v>0</v>
      </c>
      <c r="D20" s="18">
        <f>(B20-1)*'SaaS Skalierung'!C7*Grunddaten!C14</f>
        <v>0</v>
      </c>
      <c r="E20" s="18">
        <f>B20*C6</f>
        <v>0</v>
      </c>
      <c r="F20" s="18">
        <f>B20*C8*Grunddaten!C14</f>
        <v>0</v>
      </c>
      <c r="G20" s="18">
        <f>B20*C9</f>
        <v>0</v>
      </c>
      <c r="H20" s="31">
        <f t="shared" si="0"/>
        <v>0</v>
      </c>
      <c r="I20" s="18">
        <f>(Entwicklungskosten!D14+D20)/B20</f>
        <v>0</v>
      </c>
    </row>
    <row r="22" spans="2:9" ht="17" x14ac:dyDescent="0.2">
      <c r="B22" s="5" t="s">
        <v>102</v>
      </c>
      <c r="C22" s="6"/>
      <c r="D22" s="6"/>
      <c r="E22" s="6"/>
      <c r="F22" s="6"/>
      <c r="G22" s="6"/>
      <c r="H22" s="6"/>
      <c r="I22" s="6"/>
    </row>
    <row r="23" spans="2:9" x14ac:dyDescent="0.2">
      <c r="B23" s="3" t="s">
        <v>103</v>
      </c>
    </row>
    <row r="24" spans="2:9" x14ac:dyDescent="0.2">
      <c r="B24" s="3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2828"/>
  </sheetPr>
  <dimension ref="A1:F13"/>
  <sheetViews>
    <sheetView zoomScaleNormal="100" workbookViewId="0">
      <selection activeCell="C6" sqref="C6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6" width="20" customWidth="1"/>
  </cols>
  <sheetData>
    <row r="1" spans="1:6" ht="20" x14ac:dyDescent="0.2">
      <c r="B1" s="2" t="s">
        <v>105</v>
      </c>
    </row>
    <row r="2" spans="1:6" x14ac:dyDescent="0.2">
      <c r="B2" s="3" t="s">
        <v>106</v>
      </c>
    </row>
    <row r="4" spans="1:6" x14ac:dyDescent="0.2">
      <c r="A4" s="16"/>
      <c r="B4" s="16" t="s">
        <v>107</v>
      </c>
      <c r="C4" s="16" t="s">
        <v>108</v>
      </c>
      <c r="D4" s="16" t="s">
        <v>109</v>
      </c>
      <c r="E4" s="16" t="s">
        <v>110</v>
      </c>
      <c r="F4" s="16" t="s">
        <v>111</v>
      </c>
    </row>
    <row r="5" spans="1:6" x14ac:dyDescent="0.2">
      <c r="B5" s="7" t="s">
        <v>112</v>
      </c>
      <c r="C5" s="18">
        <f>'TCO Projektion'!C11</f>
        <v>0</v>
      </c>
      <c r="D5" s="18">
        <f>'TCO Projektion'!D11</f>
        <v>0</v>
      </c>
      <c r="E5" s="18">
        <f>'TCO Projektion'!E11</f>
        <v>0</v>
      </c>
      <c r="F5" s="18">
        <f>SUM(C5:E5)</f>
        <v>0</v>
      </c>
    </row>
    <row r="6" spans="1:6" x14ac:dyDescent="0.2">
      <c r="B6" s="7" t="s">
        <v>113</v>
      </c>
      <c r="C6" s="32">
        <v>0</v>
      </c>
      <c r="D6" s="32">
        <v>0</v>
      </c>
      <c r="E6" s="32">
        <v>0</v>
      </c>
      <c r="F6" s="18">
        <f>SUM(C6:E6)</f>
        <v>0</v>
      </c>
    </row>
    <row r="7" spans="1:6" x14ac:dyDescent="0.2">
      <c r="B7" s="7" t="s">
        <v>114</v>
      </c>
      <c r="C7" s="32">
        <v>0</v>
      </c>
      <c r="D7" s="32">
        <v>0</v>
      </c>
      <c r="E7" s="32">
        <v>0</v>
      </c>
      <c r="F7" s="18">
        <f>SUM(C7:E7)</f>
        <v>0</v>
      </c>
    </row>
    <row r="8" spans="1:6" x14ac:dyDescent="0.2">
      <c r="B8" s="7" t="s">
        <v>115</v>
      </c>
      <c r="C8" s="32">
        <v>0</v>
      </c>
      <c r="D8" s="32">
        <v>0</v>
      </c>
      <c r="E8" s="32">
        <v>0</v>
      </c>
      <c r="F8" s="18">
        <f>SUM(C8:E8)</f>
        <v>0</v>
      </c>
    </row>
    <row r="9" spans="1:6" x14ac:dyDescent="0.2">
      <c r="B9" s="7" t="s">
        <v>116</v>
      </c>
      <c r="C9" s="32">
        <v>0</v>
      </c>
      <c r="D9" s="32">
        <v>0</v>
      </c>
      <c r="E9" s="32">
        <v>0</v>
      </c>
      <c r="F9" s="18">
        <f>SUM(C9:E9)</f>
        <v>0</v>
      </c>
    </row>
    <row r="11" spans="1:6" x14ac:dyDescent="0.2">
      <c r="B11" s="33" t="s">
        <v>117</v>
      </c>
    </row>
    <row r="12" spans="1:6" x14ac:dyDescent="0.2">
      <c r="B12" s="33" t="s">
        <v>118</v>
      </c>
    </row>
    <row r="13" spans="1:6" x14ac:dyDescent="0.2">
      <c r="B13" s="33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Grunddaten</vt:lpstr>
      <vt:lpstr>Entwicklungskosten</vt:lpstr>
      <vt:lpstr>TCO Projektion</vt:lpstr>
      <vt:lpstr>Break-Even</vt:lpstr>
      <vt:lpstr>SaaS Skalierung</vt:lpstr>
      <vt:lpstr>Alternativenvergleich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Jens Reiner</cp:lastModifiedBy>
  <cp:revision>0</cp:revision>
  <dcterms:created xsi:type="dcterms:W3CDTF">2026-04-05T13:52:24Z</dcterms:created>
  <dcterms:modified xsi:type="dcterms:W3CDTF">2026-04-05T14:03:44Z</dcterms:modified>
  <dc:language>en-US</dc:language>
</cp:coreProperties>
</file>